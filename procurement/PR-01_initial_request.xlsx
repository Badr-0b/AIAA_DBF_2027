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Items" sheetId="1" r:id="rId1"/>
    <sheet name="Read me" sheetId="2" r:id="rId2"/>
  </sheets>
  <definedNames>
    <definedName name="_xlnm._FilterDatabase" localSheetId="0" hidden="1">Items!$A$1:$U$69</definedName>
    <definedName name="_xlnm.Print_Titles" localSheetId="0">Items!$1:$1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#,##0.000"/>
    <numFmt numFmtId="166" formatCode="0.000000"/>
    <numFmt numFmtId="167" formatCode="#,##0.00"/>
  </numFmts>
  <fonts count="7">
    <font>
      <sz val="10"/>
      <color rgb="FF0B0C0E"/>
      <name val="Geist"/>
      <family val="2"/>
    </font>
    <font>
      <b/>
      <sz val="9"/>
      <color rgb="FF2B2E33"/>
      <name val="Geist"/>
      <family val="2"/>
    </font>
    <font>
      <sz val="10"/>
      <color rgb="FF0B0C0E"/>
      <name val="Geist Mono"/>
      <family val="3"/>
    </font>
    <font>
      <sz val="10"/>
      <color rgb="FF5B616B"/>
      <name val="Geist"/>
      <family val="2"/>
    </font>
    <font>
      <u/>
      <sz val="10"/>
      <color rgb="FF2B2E33"/>
      <name val="Geist"/>
      <family val="2"/>
    </font>
    <font>
      <b/>
      <sz val="14"/>
      <color rgb="FF0B0C0E"/>
      <name val="Geist"/>
      <family val="2"/>
    </font>
    <font>
      <b/>
      <sz val="10"/>
      <color rgb="FF0B0C0E"/>
      <name val="Geist Mono"/>
      <family val="3"/>
    </font>
  </fonts>
  <fills count="4">
    <fill>
      <patternFill patternType="none"/>
    </fill>
    <fill>
      <patternFill patternType="gray125"/>
    </fill>
    <fill>
      <patternFill patternType="solid">
        <fgColor rgb="FFE4E6E9"/>
        <bgColor indexed="64"/>
      </patternFill>
    </fill>
    <fill>
      <patternFill patternType="solid">
        <fgColor rgb="FFF3F2EE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2B2E33"/>
      </bottom>
      <diagonal/>
    </border>
    <border>
      <left/>
      <right/>
      <top style="thin">
        <color rgb="FF0B0C0E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/>
    </xf>
    <xf numFmtId="1" fontId="2" fillId="0" borderId="0" xfId="0" applyNumberFormat="1" applyFont="1" applyAlignment="1">
      <alignment vertical="top"/>
    </xf>
    <xf numFmtId="164" fontId="2" fillId="0" borderId="0" xfId="0" applyNumberFormat="1" applyFont="1" applyAlignment="1">
      <alignment vertical="top"/>
    </xf>
    <xf numFmtId="165" fontId="2" fillId="0" borderId="0" xfId="0" applyNumberFormat="1" applyFont="1" applyAlignment="1">
      <alignment vertical="top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1" fillId="3" borderId="2" xfId="0" applyFont="1" applyFill="1" applyBorder="1"/>
    <xf numFmtId="164" fontId="6" fillId="3" borderId="2" xfId="0" applyNumberFormat="1" applyFont="1" applyFill="1" applyBorder="1"/>
    <xf numFmtId="165" fontId="6" fillId="3" borderId="2" xfId="0" applyNumberFormat="1" applyFont="1" applyFill="1" applyBorder="1"/>
    <xf numFmtId="0" fontId="5" fillId="0" borderId="0" xfId="0" applyFont="1"/>
    <xf numFmtId="0" fontId="0" fillId="0" borderId="0" xfId="0" applyAlignment="1">
      <alignment vertical="top"/>
    </xf>
    <xf numFmtId="166" fontId="2" fillId="0" borderId="0" xfId="0" applyNumberFormat="1" applyFont="1" applyAlignment="1">
      <alignment vertical="top"/>
    </xf>
    <xf numFmtId="167" fontId="2" fillId="0" borderId="0" xfId="0" applyNumberFormat="1" applyFont="1" applyAlignment="1">
      <alignment vertical="top"/>
    </xf>
    <xf numFmtId="10" fontId="6" fillId="3" borderId="2" xfId="0" applyNumberFormat="1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_rels/sheet1.xml.rels><?xml version="1.0" encoding="UTF-8" standalone="yes"?>
<Relationships xmlns="http://schemas.openxmlformats.org/package/2006/relationships"><Relationship Id="rIdL1" Type="http://schemas.openxmlformats.org/officeDocument/2006/relationships/hyperlink" Target="https://www.ebay.ca/p/10014711598" TargetMode="External"/><Relationship Id="rIdL2" Type="http://schemas.openxmlformats.org/officeDocument/2006/relationships/hyperlink" Target="https://www.acehardware.com/departments/lawn-and-garden/outdoor-power-equipment/leaf-blowers/7026058" TargetMode="External"/><Relationship Id="rIdL3" Type="http://schemas.openxmlformats.org/officeDocument/2006/relationships/hyperlink" Target="https://www.adafruit.com/product/4627" TargetMode="External"/><Relationship Id="rIdL4" Type="http://schemas.openxmlformats.org/officeDocument/2006/relationships/hyperlink" Target="https://www.ledsupply.com/leds/cree-xlamp-xp-e2-color-high-power-led-star" TargetMode="External"/><Relationship Id="rIdL5" Type="http://schemas.openxmlformats.org/officeDocument/2006/relationships/hyperlink" Target="https://www.raspberrypi.com/products/raspberry-pi-pico/" TargetMode="External"/><Relationship Id="rIdL6" Type="http://schemas.openxmlformats.org/officeDocument/2006/relationships/hyperlink" Target="https://radiomasterrc.com/products/boxer-radio-controller-m2" TargetMode="External"/><Relationship Id="rIdL7" Type="http://schemas.openxmlformats.org/officeDocument/2006/relationships/hyperlink" Target="https://radiomasterrc.com/products/er8-2-4ghz-elrs-pwm-receiver" TargetMode="External"/><Relationship Id="rIdL8" Type="http://schemas.openxmlformats.org/officeDocument/2006/relationships/hyperlink" Target="https://radiomasterrc.com/products/er6-2-4ghz-elrs-pwm-receiver" TargetMode="External"/><Relationship Id="rIdL9" Type="http://schemas.openxmlformats.org/officeDocument/2006/relationships/hyperlink" Target="https://www.gator-rc.com/products/spektrum-1450-receiver-battery" TargetMode="External"/><Relationship Id="rIdL10" Type="http://schemas.openxmlformats.org/officeDocument/2006/relationships/hyperlink" Target="https://shop.tmotor.com/products/at4130-long-shaft" TargetMode="External"/><Relationship Id="rIdL11" Type="http://schemas.openxmlformats.org/officeDocument/2006/relationships/hyperlink" Target="https://www.gator-rc.com/products/castle-creations-phoenix-edge-lite-100-esc-with-built-in-5-amp-bec" TargetMode="External"/><Relationship Id="rIdL12" Type="http://schemas.openxmlformats.org/officeDocument/2006/relationships/hyperlink" Target="https://www.gator-rc.com/products/15x10e-propeller-electric-apc" TargetMode="External"/><Relationship Id="rIdL13" Type="http://schemas.openxmlformats.org/officeDocument/2006/relationships/hyperlink" Target="https://www.nextfpv.com/products/tattu-r-line-4500mah-95c-6s1p-lipo-battery-pack-with-xt90s-plug-for-uav" TargetMode="External"/><Relationship Id="rIdL14" Type="http://schemas.openxmlformats.org/officeDocument/2006/relationships/hyperlink" Target="https://store.hobbyetc.com/parts/view/132874" TargetMode="External"/><Relationship Id="rIdL15" Type="http://schemas.openxmlformats.org/officeDocument/2006/relationships/hyperlink" Target="https://pyrodrone.com/collections/chargers-1/brand_toolkitrc" TargetMode="External"/><Relationship Id="rIdL16" Type="http://schemas.openxmlformats.org/officeDocument/2006/relationships/hyperlink" Target="https://ceautoelectricsupply.com/product/gep-waterproof-maxi-fuse-holder-kit/" TargetMode="External"/><Relationship Id="rIdL17" Type="http://schemas.openxmlformats.org/officeDocument/2006/relationships/hyperlink" Target="https://pyrodrone.com/products/toolkitrc-wm150-advanced-watt-power-meter" TargetMode="External"/><Relationship Id="rIdL18" Type="http://schemas.openxmlformats.org/officeDocument/2006/relationships/hyperlink" Target="https://www.rockwestcomposites.com/roll-wrapped-carbon-fiber-tubes" TargetMode="External"/><Relationship Id="rIdL19" Type="http://schemas.openxmlformats.org/officeDocument/2006/relationships/hyperlink" Target="https://www.adafruit.com/product/736" TargetMode="External"/><Relationship Id="rIdL20" Type="http://schemas.openxmlformats.org/officeDocument/2006/relationships/hyperlink" Target="https://thepihut.com/collections/all/products/seeed-xiao-rp20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U75"/>
  <sheetViews>
    <sheetView workbookViewId="0" tabSelected="1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5"/>
  <cols>
    <col min="1" max="1" width="6" customWidth="1"/>
    <col min="2" max="2" width="5" customWidth="1"/>
    <col min="3" max="3" width="16" customWidth="1"/>
    <col min="4" max="4" width="24" customWidth="1"/>
    <col min="5" max="5" width="46" customWidth="1"/>
    <col min="6" max="6" width="6" customWidth="1"/>
    <col min="7" max="7" width="10" customWidth="1"/>
    <col min="8" max="8" width="6" customWidth="1"/>
    <col min="9" max="9" width="11" customWidth="1"/>
    <col min="10" max="10" width="12" customWidth="1"/>
    <col min="11" max="11" width="11" customWidth="1"/>
    <col min="12" max="12" width="12" customWidth="1"/>
    <col min="13" max="13" width="12" customWidth="1"/>
    <col min="14" max="14" width="10" customWidth="1"/>
    <col min="15" max="15" width="24" customWidth="1"/>
    <col min="16" max="16" width="36" customWidth="1"/>
    <col min="17" max="17" width="11" customWidth="1"/>
    <col min="18" max="18" width="10" customWidth="1"/>
    <col min="19" max="19" width="11" customWidth="1"/>
    <col min="20" max="20" width="18" customWidth="1"/>
    <col min="21" max="21" width="40" customWidth="1"/>
  </cols>
  <sheetData>
    <row r="1" ht="28" customHeight="1">
      <c r="A1" s="1" t="inlineStr">
        <is>
          <t xml:space="preserve">ID</t>
        </is>
      </c>
      <c r="B1" s="1" t="inlineStr">
        <is>
          <t xml:space="preserve">Tier</t>
        </is>
      </c>
      <c r="C1" s="1" t="inlineStr">
        <is>
          <t xml:space="preserve">Category</t>
        </is>
      </c>
      <c r="D1" s="1" t="inlineStr">
        <is>
          <t xml:space="preserve">Item</t>
        </is>
      </c>
      <c r="E1" s="1" t="inlineStr">
        <is>
          <t xml:space="preserve">Specification</t>
        </is>
      </c>
      <c r="F1" s="1" t="inlineStr">
        <is>
          <t xml:space="preserve">Qty</t>
        </is>
      </c>
      <c r="G1" s="1" t="inlineStr">
        <is>
          <t xml:space="preserve">Ref. price</t>
        </is>
      </c>
      <c r="H1" s="1" t="inlineStr">
        <is>
          <t xml:space="preserve">Cur.</t>
        </is>
      </c>
      <c r="I1" s="1" t="inlineStr">
        <is>
          <t xml:space="preserve">Unit, USD</t>
        </is>
      </c>
      <c r="J1" s="1" t="inlineStr">
        <is>
          <t xml:space="preserve">Ext., USD</t>
        </is>
      </c>
      <c r="K1" s="1" t="inlineStr">
        <is>
          <t xml:space="preserve">Unit, KWD</t>
        </is>
      </c>
      <c r="L1" s="1" t="inlineStr">
        <is>
          <t xml:space="preserve">Ext., KWD</t>
        </is>
      </c>
      <c r="M1" s="1" t="inlineStr">
        <is>
          <t xml:space="preserve">Status</t>
        </is>
      </c>
      <c r="N1" s="1" t="inlineStr">
        <is>
          <t xml:space="preserve">Price basis</t>
        </is>
      </c>
      <c r="O1" s="1" t="inlineStr">
        <is>
          <t xml:space="preserve">Reference vendor</t>
        </is>
      </c>
      <c r="P1" s="1" t="inlineStr">
        <is>
          <t xml:space="preserve">Reference URL</t>
        </is>
      </c>
      <c r="Q1" s="1" t="inlineStr">
        <is>
          <t xml:space="preserve">Checked</t>
        </is>
      </c>
      <c r="R1" s="1" t="inlineStr">
        <is>
          <t xml:space="preserve">Checked via</t>
        </is>
      </c>
      <c r="S1" s="1" t="inlineStr">
        <is>
          <t xml:space="preserve">Need by</t>
        </is>
      </c>
      <c r="T1" s="1" t="inlineStr">
        <is>
          <t xml:space="preserve">For</t>
        </is>
      </c>
      <c r="U1" s="1" t="inlineStr">
        <is>
          <t xml:space="preserve">Notes</t>
        </is>
      </c>
    </row>
    <row r="2" ht="43.5" customHeight="1">
      <c r="A2" s="3" t="inlineStr">
        <is>
          <t xml:space="preserve">A01</t>
        </is>
      </c>
      <c r="B2" s="3" t="inlineStr">
        <is>
          <t xml:space="preserve">A</t>
        </is>
      </c>
      <c r="C2" s="2" t="inlineStr">
        <is>
          <t xml:space="preserve">Measurement and safety</t>
        </is>
      </c>
      <c r="D2" s="2" t="inlineStr">
        <is>
          <t xml:space="preserve">Precision bench scale</t>
        </is>
      </c>
      <c r="E2" s="2" t="inlineStr">
        <is>
          <t xml:space="preserve">3 kg capacity, 0.1 g resolution, tare. Weighs bodies, ballast and containers to 0.01 oz (0.28 g).</t>
        </is>
      </c>
      <c r="F2" s="4">
        <v>2</v>
      </c>
      <c r="G2" s="15">
        <v>15.0</v>
      </c>
      <c r="H2" s="3" t="inlineStr">
        <is>
          <t xml:space="preserve">USD</t>
        </is>
      </c>
      <c r="I2" s="5">
        <f>G2</f>
        <v>15.0</v>
      </c>
      <c r="J2" s="5">
        <f>F2*I2</f>
        <v>30.0</v>
      </c>
      <c r="K2" s="6">
        <f>I2*'Read me'!$B$4</f>
        <v>4.6624</v>
      </c>
      <c r="L2" s="6">
        <f>F2*K2</f>
        <v>9.3249</v>
      </c>
      <c r="M2" s="2" t="inlineStr">
        <is>
          <t xml:space="preserve">Buy now</t>
        </is>
      </c>
      <c r="N2" s="2" t="inlineStr">
        <is>
          <t xml:space="preserve">Estimate</t>
        </is>
      </c>
      <c r="O2" s="2" t="inlineStr">
        <is>
          <t xml:space="preserve"/>
        </is>
      </c>
      <c r="Q2" s="3" t="inlineStr">
        <is>
          <t xml:space="preserve">2026-10-09</t>
        </is>
      </c>
      <c r="R2" s="2" t="inlineStr">
        <is>
          <t xml:space="preserve"/>
        </is>
      </c>
      <c r="S2" s="3" t="inlineStr">
        <is>
          <t xml:space="preserve">2026-10-11</t>
        </is>
      </c>
      <c r="T2" s="2" t="inlineStr">
        <is>
          <t xml:space="preserve">TC-01, TC-02, TC-04</t>
        </is>
      </c>
      <c r="U2" s="7" t="inlineStr">
        <is>
          <t xml:space="preserve">Example model: Duratool D03412 (3 kg × 0.1 g).</t>
        </is>
      </c>
    </row>
    <row r="3" ht="30" customHeight="1">
      <c r="A3" s="3" t="inlineStr">
        <is>
          <t xml:space="preserve">A02</t>
        </is>
      </c>
      <c r="B3" s="3" t="inlineStr">
        <is>
          <t xml:space="preserve">A</t>
        </is>
      </c>
      <c r="C3" s="2" t="inlineStr">
        <is>
          <t xml:space="preserve">Measurement and safety</t>
        </is>
      </c>
      <c r="D3" s="2" t="inlineStr">
        <is>
          <t xml:space="preserve">Digital hanging scale</t>
        </is>
      </c>
      <c r="E3" s="2" t="inlineStr">
        <is>
          <t xml:space="preserve">50 kg × 10 g with hold function. Tension check; weighing payload bundles and airframes.</t>
        </is>
      </c>
      <c r="F3" s="4">
        <v>1</v>
      </c>
      <c r="G3" s="15">
        <v>15.0</v>
      </c>
      <c r="H3" s="3" t="inlineStr">
        <is>
          <t xml:space="preserve">USD</t>
        </is>
      </c>
      <c r="I3" s="5">
        <f>G3</f>
        <v>15.0</v>
      </c>
      <c r="J3" s="5">
        <f>F3*I3</f>
        <v>15.0</v>
      </c>
      <c r="K3" s="6">
        <f>I3*'Read me'!$B$4</f>
        <v>4.6624</v>
      </c>
      <c r="L3" s="6">
        <f>F3*K3</f>
        <v>4.6624</v>
      </c>
      <c r="M3" s="2" t="inlineStr">
        <is>
          <t xml:space="preserve">Buy now</t>
        </is>
      </c>
      <c r="N3" s="2" t="inlineStr">
        <is>
          <t xml:space="preserve">Estimate</t>
        </is>
      </c>
      <c r="O3" s="2" t="inlineStr">
        <is>
          <t xml:space="preserve"/>
        </is>
      </c>
      <c r="Q3" s="3" t="inlineStr">
        <is>
          <t xml:space="preserve">2026-10-09</t>
        </is>
      </c>
      <c r="R3" s="2" t="inlineStr">
        <is>
          <t xml:space="preserve"/>
        </is>
      </c>
      <c r="S3" s="3" t="inlineStr">
        <is>
          <t xml:space="preserve">2026-10-11</t>
        </is>
      </c>
      <c r="T3" s="2" t="inlineStr">
        <is>
          <t xml:space="preserve">TC-01, TC-04</t>
        </is>
      </c>
      <c r="U3" s="7" t="inlineStr">
        <is>
          <t xml:space="preserve"/>
        </is>
      </c>
    </row>
    <row r="4" ht="30" customHeight="1">
      <c r="A4" s="3" t="inlineStr">
        <is>
          <t xml:space="preserve">A03</t>
        </is>
      </c>
      <c r="B4" s="3" t="inlineStr">
        <is>
          <t xml:space="preserve">A</t>
        </is>
      </c>
      <c r="C4" s="2" t="inlineStr">
        <is>
          <t xml:space="preserve">Measurement and safety</t>
        </is>
      </c>
      <c r="D4" s="2" t="inlineStr">
        <is>
          <t xml:space="preserve">Vane anemometer</t>
        </is>
      </c>
      <c r="E4" s="2" t="inlineStr">
        <is>
          <t xml:space="preserve">Handheld, 0.3–30 m/s, reads m/s and ft/min.</t>
        </is>
      </c>
      <c r="F4" s="4">
        <v>1</v>
      </c>
      <c r="G4" s="15">
        <v>26.99</v>
      </c>
      <c r="H4" s="3" t="inlineStr">
        <is>
          <t xml:space="preserve">USD</t>
        </is>
      </c>
      <c r="I4" s="5">
        <f>G4</f>
        <v>26.99</v>
      </c>
      <c r="J4" s="5">
        <f>F4*I4</f>
        <v>26.99</v>
      </c>
      <c r="K4" s="6">
        <f>I4*'Read me'!$B$4</f>
        <v>8.3893</v>
      </c>
      <c r="L4" s="6">
        <f>F4*K4</f>
        <v>8.3893</v>
      </c>
      <c r="M4" s="2" t="inlineStr">
        <is>
          <t xml:space="preserve">Buy now</t>
        </is>
      </c>
      <c r="N4" s="2" t="inlineStr">
        <is>
          <t xml:space="preserve">Listing</t>
        </is>
      </c>
      <c r="O4" s="2" t="inlineStr">
        <is>
          <t xml:space="preserve">HoldPeak HP-866B (eBay)</t>
        </is>
      </c>
      <c r="P4" s="8" t="inlineStr">
        <is>
          <t xml:space="preserve">https://www.ebay.ca/p/10014711598</t>
        </is>
      </c>
      <c r="Q4" s="3" t="inlineStr">
        <is>
          <t xml:space="preserve">2026-10-09</t>
        </is>
      </c>
      <c r="R4" s="2" t="inlineStr">
        <is>
          <t xml:space="preserve">Search result</t>
        </is>
      </c>
      <c r="S4" s="3" t="inlineStr">
        <is>
          <t xml:space="preserve">2026-10-11</t>
        </is>
      </c>
      <c r="T4" s="2" t="inlineStr">
        <is>
          <t xml:space="preserve">TC-01</t>
        </is>
      </c>
      <c r="U4" s="7" t="inlineStr">
        <is>
          <t xml:space="preserve">Upper limit 30 m/s (98 ft/s).</t>
        </is>
      </c>
    </row>
    <row r="5" ht="43.5" customHeight="1">
      <c r="A5" s="3" t="inlineStr">
        <is>
          <t xml:space="preserve">A04</t>
        </is>
      </c>
      <c r="B5" s="3" t="inlineStr">
        <is>
          <t xml:space="preserve">A</t>
        </is>
      </c>
      <c r="C5" s="2" t="inlineStr">
        <is>
          <t xml:space="preserve">Measurement and safety</t>
        </is>
      </c>
      <c r="D5" s="2" t="inlineStr">
        <is>
          <t xml:space="preserve">Digital caliper</t>
        </is>
      </c>
      <c r="E5" s="2" t="inlineStr">
        <is>
          <t xml:space="preserve">150 mm, 0.01 mm. Foam thickness and permanent set; simulator size match (±1/8 in). Skip if the lab has one.</t>
        </is>
      </c>
      <c r="F5" s="4">
        <v>1</v>
      </c>
      <c r="G5" s="15">
        <v>20.0</v>
      </c>
      <c r="H5" s="3" t="inlineStr">
        <is>
          <t xml:space="preserve">USD</t>
        </is>
      </c>
      <c r="I5" s="5">
        <f>G5</f>
        <v>20.0</v>
      </c>
      <c r="J5" s="5">
        <f>F5*I5</f>
        <v>20.0</v>
      </c>
      <c r="K5" s="6">
        <f>I5*'Read me'!$B$4</f>
        <v>6.2166</v>
      </c>
      <c r="L5" s="6">
        <f>F5*K5</f>
        <v>6.2166</v>
      </c>
      <c r="M5" s="2" t="inlineStr">
        <is>
          <t xml:space="preserve">Buy now</t>
        </is>
      </c>
      <c r="N5" s="2" t="inlineStr">
        <is>
          <t xml:space="preserve">Estimate</t>
        </is>
      </c>
      <c r="O5" s="2" t="inlineStr">
        <is>
          <t xml:space="preserve"/>
        </is>
      </c>
      <c r="Q5" s="3" t="inlineStr">
        <is>
          <t xml:space="preserve">2026-10-09</t>
        </is>
      </c>
      <c r="R5" s="2" t="inlineStr">
        <is>
          <t xml:space="preserve"/>
        </is>
      </c>
      <c r="S5" s="3" t="inlineStr">
        <is>
          <t xml:space="preserve">2026-10-11</t>
        </is>
      </c>
      <c r="T5" s="2" t="inlineStr">
        <is>
          <t xml:space="preserve">TC-02, §3.1.3</t>
        </is>
      </c>
      <c r="U5" s="7" t="inlineStr">
        <is>
          <t xml:space="preserve"/>
        </is>
      </c>
    </row>
    <row r="6" ht="30" customHeight="1">
      <c r="A6" s="3" t="inlineStr">
        <is>
          <t xml:space="preserve">A05</t>
        </is>
      </c>
      <c r="B6" s="3" t="inlineStr">
        <is>
          <t xml:space="preserve">A</t>
        </is>
      </c>
      <c r="C6" s="2" t="inlineStr">
        <is>
          <t xml:space="preserve">Measurement and safety</t>
        </is>
      </c>
      <c r="D6" s="2" t="inlineStr">
        <is>
          <t xml:space="preserve">Safety glasses</t>
        </is>
      </c>
      <c r="E6" s="2" t="inlineStr">
        <is>
          <t xml:space="preserve">Impact-rated (ANSI Z87.1 or EN 166).</t>
        </is>
      </c>
      <c r="F6" s="4">
        <v>6</v>
      </c>
      <c r="G6" s="15">
        <v>4.0</v>
      </c>
      <c r="H6" s="3" t="inlineStr">
        <is>
          <t xml:space="preserve">USD</t>
        </is>
      </c>
      <c r="I6" s="5">
        <f>G6</f>
        <v>4.0</v>
      </c>
      <c r="J6" s="5">
        <f>F6*I6</f>
        <v>24.0</v>
      </c>
      <c r="K6" s="6">
        <f>I6*'Read me'!$B$4</f>
        <v>1.2433</v>
      </c>
      <c r="L6" s="6">
        <f>F6*K6</f>
        <v>7.4599</v>
      </c>
      <c r="M6" s="2" t="inlineStr">
        <is>
          <t xml:space="preserve">Buy now</t>
        </is>
      </c>
      <c r="N6" s="2" t="inlineStr">
        <is>
          <t xml:space="preserve">Estimate</t>
        </is>
      </c>
      <c r="O6" s="2" t="inlineStr">
        <is>
          <t xml:space="preserve"/>
        </is>
      </c>
      <c r="Q6" s="3" t="inlineStr">
        <is>
          <t xml:space="preserve">2026-10-09</t>
        </is>
      </c>
      <c r="R6" s="2" t="inlineStr">
        <is>
          <t xml:space="preserve"/>
        </is>
      </c>
      <c r="S6" s="3" t="inlineStr">
        <is>
          <t xml:space="preserve">2026-10-11</t>
        </is>
      </c>
      <c r="T6" s="2" t="inlineStr">
        <is>
          <t xml:space="preserve">TC-01, TC-02</t>
        </is>
      </c>
      <c r="U6" s="7" t="inlineStr">
        <is>
          <t xml:space="preserve"/>
        </is>
      </c>
    </row>
    <row r="7" ht="30" customHeight="1">
      <c r="A7" s="3" t="inlineStr">
        <is>
          <t xml:space="preserve">A06</t>
        </is>
      </c>
      <c r="B7" s="3" t="inlineStr">
        <is>
          <t xml:space="preserve">A</t>
        </is>
      </c>
      <c r="C7" s="2" t="inlineStr">
        <is>
          <t xml:space="preserve">Measurement and safety</t>
        </is>
      </c>
      <c r="D7" s="2" t="inlineStr">
        <is>
          <t xml:space="preserve">Earmuffs</t>
        </is>
      </c>
      <c r="E7" s="2" t="inlineStr">
        <is>
          <t xml:space="preserve">Passive hearing protection for blower runs.</t>
        </is>
      </c>
      <c r="F7" s="4">
        <v>3</v>
      </c>
      <c r="G7" s="15">
        <v>12.0</v>
      </c>
      <c r="H7" s="3" t="inlineStr">
        <is>
          <t xml:space="preserve">USD</t>
        </is>
      </c>
      <c r="I7" s="5">
        <f>G7</f>
        <v>12.0</v>
      </c>
      <c r="J7" s="5">
        <f>F7*I7</f>
        <v>36.0</v>
      </c>
      <c r="K7" s="6">
        <f>I7*'Read me'!$B$4</f>
        <v>3.7299</v>
      </c>
      <c r="L7" s="6">
        <f>F7*K7</f>
        <v>11.1898</v>
      </c>
      <c r="M7" s="2" t="inlineStr">
        <is>
          <t xml:space="preserve">Buy now</t>
        </is>
      </c>
      <c r="N7" s="2" t="inlineStr">
        <is>
          <t xml:space="preserve">Estimate</t>
        </is>
      </c>
      <c r="O7" s="2" t="inlineStr">
        <is>
          <t xml:space="preserve"/>
        </is>
      </c>
      <c r="Q7" s="3" t="inlineStr">
        <is>
          <t xml:space="preserve">2026-10-09</t>
        </is>
      </c>
      <c r="R7" s="2" t="inlineStr">
        <is>
          <t xml:space="preserve"/>
        </is>
      </c>
      <c r="S7" s="3" t="inlineStr">
        <is>
          <t xml:space="preserve">2026-10-11</t>
        </is>
      </c>
      <c r="T7" s="2" t="inlineStr">
        <is>
          <t xml:space="preserve">TC-01</t>
        </is>
      </c>
      <c r="U7" s="7" t="inlineStr">
        <is>
          <t xml:space="preserve"/>
        </is>
      </c>
    </row>
    <row r="8" ht="43.5" customHeight="1">
      <c r="A8" s="3" t="inlineStr">
        <is>
          <t xml:space="preserve">A07</t>
        </is>
      </c>
      <c r="B8" s="3" t="inlineStr">
        <is>
          <t xml:space="preserve">A</t>
        </is>
      </c>
      <c r="C8" s="2" t="inlineStr">
        <is>
          <t xml:space="preserve">TC-01 blower rig</t>
        </is>
      </c>
      <c r="D8" s="2" t="inlineStr">
        <is>
          <t xml:space="preserve">Leaf blower</t>
        </is>
      </c>
      <c r="E8" s="2" t="inlineStr">
        <is>
          <t xml:space="preserve">Highest air volume available locally; target ≥ 15 m³/min (530 cfm). 230 V / 50 Hz or cordless; variable speed preferred.</t>
        </is>
      </c>
      <c r="F8" s="4">
        <v>1</v>
      </c>
      <c r="G8" s="15">
        <v>359.0</v>
      </c>
      <c r="H8" s="3" t="inlineStr">
        <is>
          <t xml:space="preserve">USD</t>
        </is>
      </c>
      <c r="I8" s="5">
        <f>G8</f>
        <v>359.0</v>
      </c>
      <c r="J8" s="5">
        <f>F8*I8</f>
        <v>359.0</v>
      </c>
      <c r="K8" s="6">
        <f>I8*'Read me'!$B$4</f>
        <v>111.5876</v>
      </c>
      <c r="L8" s="6">
        <f>F8*K8</f>
        <v>111.5876</v>
      </c>
      <c r="M8" s="2" t="inlineStr">
        <is>
          <t xml:space="preserve">Buy now</t>
        </is>
      </c>
      <c r="N8" s="2" t="inlineStr">
        <is>
          <t xml:space="preserve">Listing</t>
        </is>
      </c>
      <c r="O8" s="2" t="inlineStr">
        <is>
          <t xml:space="preserve">EGO LB7654, 765 cfm, 56 V kit (Ace Hardware)</t>
        </is>
      </c>
      <c r="P8" s="8" t="inlineStr">
        <is>
          <t xml:space="preserve">https://www.acehardware.com/departments/lawn-and-garden/outdoor-power-equipment/leaf-blowers/7026058</t>
        </is>
      </c>
      <c r="Q8" s="3" t="inlineStr">
        <is>
          <t xml:space="preserve">2026-10-09</t>
        </is>
      </c>
      <c r="R8" s="2" t="inlineStr">
        <is>
          <t xml:space="preserve">Search result</t>
        </is>
      </c>
      <c r="S8" s="3" t="inlineStr">
        <is>
          <t xml:space="preserve">2026-10-11</t>
        </is>
      </c>
      <c r="T8" s="2" t="inlineStr">
        <is>
          <t xml:space="preserve">TC-01</t>
        </is>
      </c>
      <c r="U8" s="7" t="inlineStr">
        <is>
          <t xml:space="preserve">US reference model. Buy the local equivalent and check its air-volume rating.</t>
        </is>
      </c>
    </row>
    <row r="9" ht="43.5" customHeight="1">
      <c r="A9" s="3" t="inlineStr">
        <is>
          <t xml:space="preserve">A08</t>
        </is>
      </c>
      <c r="B9" s="3" t="inlineStr">
        <is>
          <t xml:space="preserve">A</t>
        </is>
      </c>
      <c r="C9" s="2" t="inlineStr">
        <is>
          <t xml:space="preserve">TC-01 blower rig</t>
        </is>
      </c>
      <c r="D9" s="2" t="inlineStr">
        <is>
          <t xml:space="preserve">Duct and adapters</t>
        </is>
      </c>
      <c r="E9" s="2" t="inlineStr">
        <is>
          <t xml:space="preserve">Rigid round duct, 100 mm and 150 mm × 1 m; reducer to the blower nozzle; aluminium tape; clamps.</t>
        </is>
      </c>
      <c r="F9" s="4">
        <v>1</v>
      </c>
      <c r="G9" s="15">
        <v>40.0</v>
      </c>
      <c r="H9" s="3" t="inlineStr">
        <is>
          <t xml:space="preserve">USD</t>
        </is>
      </c>
      <c r="I9" s="5">
        <f>G9</f>
        <v>40.0</v>
      </c>
      <c r="J9" s="5">
        <f>F9*I9</f>
        <v>40.0</v>
      </c>
      <c r="K9" s="6">
        <f>I9*'Read me'!$B$4</f>
        <v>12.4332</v>
      </c>
      <c r="L9" s="6">
        <f>F9*K9</f>
        <v>12.4332</v>
      </c>
      <c r="M9" s="2" t="inlineStr">
        <is>
          <t xml:space="preserve">Buy now</t>
        </is>
      </c>
      <c r="N9" s="2" t="inlineStr">
        <is>
          <t xml:space="preserve">Estimate</t>
        </is>
      </c>
      <c r="O9" s="2" t="inlineStr">
        <is>
          <t xml:space="preserve"/>
        </is>
      </c>
      <c r="Q9" s="3" t="inlineStr">
        <is>
          <t xml:space="preserve">2026-10-09</t>
        </is>
      </c>
      <c r="R9" s="2" t="inlineStr">
        <is>
          <t xml:space="preserve"/>
        </is>
      </c>
      <c r="S9" s="3" t="inlineStr">
        <is>
          <t xml:space="preserve">2026-10-11</t>
        </is>
      </c>
      <c r="T9" s="2" t="inlineStr">
        <is>
          <t xml:space="preserve">TC-01</t>
        </is>
      </c>
      <c r="U9" s="7" t="inlineStr">
        <is>
          <t xml:space="preserve"/>
        </is>
      </c>
    </row>
    <row r="10" ht="30" customHeight="1">
      <c r="A10" s="3" t="inlineStr">
        <is>
          <t xml:space="preserve">A09</t>
        </is>
      </c>
      <c r="B10" s="3" t="inlineStr">
        <is>
          <t xml:space="preserve">A</t>
        </is>
      </c>
      <c r="C10" s="2" t="inlineStr">
        <is>
          <t xml:space="preserve">TC-01 blower rig</t>
        </is>
      </c>
      <c r="D10" s="2" t="inlineStr">
        <is>
          <t xml:space="preserve">Drinking straws</t>
        </is>
      </c>
      <c r="E10" s="2" t="inlineStr">
        <is>
          <t xml:space="preserve">Plain straight straws, about 6–8 mm × 200 mm, for the flow straightener.</t>
        </is>
      </c>
      <c r="F10" s="4">
        <v>1</v>
      </c>
      <c r="G10" s="15">
        <v>10.0</v>
      </c>
      <c r="H10" s="3" t="inlineStr">
        <is>
          <t xml:space="preserve">USD</t>
        </is>
      </c>
      <c r="I10" s="5">
        <f>G10</f>
        <v>10.0</v>
      </c>
      <c r="J10" s="5">
        <f>F10*I10</f>
        <v>10.0</v>
      </c>
      <c r="K10" s="6">
        <f>I10*'Read me'!$B$4</f>
        <v>3.1083</v>
      </c>
      <c r="L10" s="6">
        <f>F10*K10</f>
        <v>3.1083</v>
      </c>
      <c r="M10" s="2" t="inlineStr">
        <is>
          <t xml:space="preserve">Buy now</t>
        </is>
      </c>
      <c r="N10" s="2" t="inlineStr">
        <is>
          <t xml:space="preserve">Estimate</t>
        </is>
      </c>
      <c r="O10" s="2" t="inlineStr">
        <is>
          <t xml:space="preserve"/>
        </is>
      </c>
      <c r="Q10" s="3" t="inlineStr">
        <is>
          <t xml:space="preserve">2026-10-09</t>
        </is>
      </c>
      <c r="R10" s="2" t="inlineStr">
        <is>
          <t xml:space="preserve"/>
        </is>
      </c>
      <c r="S10" s="3" t="inlineStr">
        <is>
          <t xml:space="preserve">2026-10-11</t>
        </is>
      </c>
      <c r="T10" s="2" t="inlineStr">
        <is>
          <t xml:space="preserve">TC-01</t>
        </is>
      </c>
      <c r="U10" s="7" t="inlineStr">
        <is>
          <t xml:space="preserve">About 500 straws.</t>
        </is>
      </c>
    </row>
    <row r="11" ht="30" customHeight="1">
      <c r="A11" s="3" t="inlineStr">
        <is>
          <t xml:space="preserve">A10</t>
        </is>
      </c>
      <c r="B11" s="3" t="inlineStr">
        <is>
          <t xml:space="preserve">A</t>
        </is>
      </c>
      <c r="C11" s="2" t="inlineStr">
        <is>
          <t xml:space="preserve">TC-01 blower rig</t>
        </is>
      </c>
      <c r="D11" s="2" t="inlineStr">
        <is>
          <t xml:space="preserve">Ball-bearing swivels</t>
        </is>
      </c>
      <c r="E11" s="2" t="inlineStr">
        <is>
          <t xml:space="preserve">Fishing ball-bearing swivels, ≥ 50 lb rated.</t>
        </is>
      </c>
      <c r="F11" s="4">
        <v>10</v>
      </c>
      <c r="G11" s="15">
        <v>1.2</v>
      </c>
      <c r="H11" s="3" t="inlineStr">
        <is>
          <t xml:space="preserve">USD</t>
        </is>
      </c>
      <c r="I11" s="5">
        <f>G11</f>
        <v>1.2</v>
      </c>
      <c r="J11" s="5">
        <f>F11*I11</f>
        <v>12.0</v>
      </c>
      <c r="K11" s="6">
        <f>I11*'Read me'!$B$4</f>
        <v>0.373</v>
      </c>
      <c r="L11" s="6">
        <f>F11*K11</f>
        <v>3.7299</v>
      </c>
      <c r="M11" s="2" t="inlineStr">
        <is>
          <t xml:space="preserve">Buy now</t>
        </is>
      </c>
      <c r="N11" s="2" t="inlineStr">
        <is>
          <t xml:space="preserve">Estimate</t>
        </is>
      </c>
      <c r="O11" s="2" t="inlineStr">
        <is>
          <t xml:space="preserve"/>
        </is>
      </c>
      <c r="Q11" s="3" t="inlineStr">
        <is>
          <t xml:space="preserve">2026-10-09</t>
        </is>
      </c>
      <c r="R11" s="2" t="inlineStr">
        <is>
          <t xml:space="preserve"/>
        </is>
      </c>
      <c r="S11" s="3" t="inlineStr">
        <is>
          <t xml:space="preserve">2026-10-11</t>
        </is>
      </c>
      <c r="T11" s="2" t="inlineStr">
        <is>
          <t xml:space="preserve">TC-01</t>
        </is>
      </c>
      <c r="U11" s="7" t="inlineStr">
        <is>
          <t xml:space="preserve">A swivel lets any roll tendency show as rotation.</t>
        </is>
      </c>
    </row>
    <row r="12" ht="30" customHeight="1">
      <c r="A12" s="3" t="inlineStr">
        <is>
          <t xml:space="preserve">A11</t>
        </is>
      </c>
      <c r="B12" s="3" t="inlineStr">
        <is>
          <t xml:space="preserve">A</t>
        </is>
      </c>
      <c r="C12" s="2" t="inlineStr">
        <is>
          <t xml:space="preserve">TC-01 blower rig</t>
        </is>
      </c>
      <c r="D12" s="2" t="inlineStr">
        <is>
          <t xml:space="preserve">Braided PE line</t>
        </is>
      </c>
      <c r="E12" s="2" t="inlineStr">
        <is>
          <t xml:space="preserve">50–80 lb braided PE (Dyneema-type) fishing line, ≥ 150 yd.</t>
        </is>
      </c>
      <c r="F12" s="4">
        <v>1</v>
      </c>
      <c r="G12" s="15">
        <v>20.0</v>
      </c>
      <c r="H12" s="3" t="inlineStr">
        <is>
          <t xml:space="preserve">USD</t>
        </is>
      </c>
      <c r="I12" s="5">
        <f>G12</f>
        <v>20.0</v>
      </c>
      <c r="J12" s="5">
        <f>F12*I12</f>
        <v>20.0</v>
      </c>
      <c r="K12" s="6">
        <f>I12*'Read me'!$B$4</f>
        <v>6.2166</v>
      </c>
      <c r="L12" s="6">
        <f>F12*K12</f>
        <v>6.2166</v>
      </c>
      <c r="M12" s="2" t="inlineStr">
        <is>
          <t xml:space="preserve">Buy now</t>
        </is>
      </c>
      <c r="N12" s="2" t="inlineStr">
        <is>
          <t xml:space="preserve">Estimate</t>
        </is>
      </c>
      <c r="O12" s="2" t="inlineStr">
        <is>
          <t xml:space="preserve"/>
        </is>
      </c>
      <c r="Q12" s="3" t="inlineStr">
        <is>
          <t xml:space="preserve">2026-10-09</t>
        </is>
      </c>
      <c r="R12" s="2" t="inlineStr">
        <is>
          <t xml:space="preserve"/>
        </is>
      </c>
      <c r="S12" s="3" t="inlineStr">
        <is>
          <t xml:space="preserve">2026-10-11</t>
        </is>
      </c>
      <c r="T12" s="2" t="inlineStr">
        <is>
          <t xml:space="preserve">TC-01, TC-02, tow-line candidate</t>
        </is>
      </c>
      <c r="U12" s="7" t="inlineStr">
        <is>
          <t xml:space="preserve"/>
        </is>
      </c>
    </row>
    <row r="13" ht="30" customHeight="1">
      <c r="A13" s="3" t="inlineStr">
        <is>
          <t xml:space="preserve">A12</t>
        </is>
      </c>
      <c r="B13" s="3" t="inlineStr">
        <is>
          <t xml:space="preserve">A</t>
        </is>
      </c>
      <c r="C13" s="2" t="inlineStr">
        <is>
          <t xml:space="preserve">TC-01 blower rig</t>
        </is>
      </c>
      <c r="D13" s="2" t="inlineStr">
        <is>
          <t xml:space="preserve">Ballast assortment</t>
        </is>
      </c>
      <c r="E13" s="2" t="inlineStr">
        <is>
          <t xml:space="preserve">Steel nuts and washers M5–M10 and lead-free sinkers, about 1 kg.</t>
        </is>
      </c>
      <c r="F13" s="4">
        <v>1</v>
      </c>
      <c r="G13" s="15">
        <v>15.0</v>
      </c>
      <c r="H13" s="3" t="inlineStr">
        <is>
          <t xml:space="preserve">USD</t>
        </is>
      </c>
      <c r="I13" s="5">
        <f>G13</f>
        <v>15.0</v>
      </c>
      <c r="J13" s="5">
        <f>F13*I13</f>
        <v>15.0</v>
      </c>
      <c r="K13" s="6">
        <f>I13*'Read me'!$B$4</f>
        <v>4.6624</v>
      </c>
      <c r="L13" s="6">
        <f>F13*K13</f>
        <v>4.6624</v>
      </c>
      <c r="M13" s="2" t="inlineStr">
        <is>
          <t xml:space="preserve">Buy now</t>
        </is>
      </c>
      <c r="N13" s="2" t="inlineStr">
        <is>
          <t xml:space="preserve">Estimate</t>
        </is>
      </c>
      <c r="O13" s="2" t="inlineStr">
        <is>
          <t xml:space="preserve"/>
        </is>
      </c>
      <c r="Q13" s="3" t="inlineStr">
        <is>
          <t xml:space="preserve">2026-10-09</t>
        </is>
      </c>
      <c r="R13" s="2" t="inlineStr">
        <is>
          <t xml:space="preserve"/>
        </is>
      </c>
      <c r="S13" s="3" t="inlineStr">
        <is>
          <t xml:space="preserve">2026-10-11</t>
        </is>
      </c>
      <c r="T13" s="2" t="inlineStr">
        <is>
          <t xml:space="preserve">TC-01, TC-02</t>
        </is>
      </c>
      <c r="U13" s="7" t="inlineStr">
        <is>
          <t xml:space="preserve">Ballast must be internal to the sensor (§3.1.1).</t>
        </is>
      </c>
    </row>
    <row r="14" ht="57" customHeight="1">
      <c r="A14" s="3" t="inlineStr">
        <is>
          <t xml:space="preserve">A13</t>
        </is>
      </c>
      <c r="B14" s="3" t="inlineStr">
        <is>
          <t xml:space="preserve">A</t>
        </is>
      </c>
      <c r="C14" s="2" t="inlineStr">
        <is>
          <t xml:space="preserve">TC-02 drop test</t>
        </is>
      </c>
      <c r="D14" s="2" t="inlineStr">
        <is>
          <t xml:space="preserve">Foam sheet assortment</t>
        </is>
      </c>
      <c r="E14" s="2" t="inlineStr">
        <is>
          <t xml:space="preserve">At least 4 types: EPE (2 densities), EPS (2 densities), XPS, open-cell PU, EVA; 10, 20, 25 and 50 mm; about 0.5 m² per type and thickness.</t>
        </is>
      </c>
      <c r="F14" s="4">
        <v>1</v>
      </c>
      <c r="G14" s="15">
        <v>120.0</v>
      </c>
      <c r="H14" s="3" t="inlineStr">
        <is>
          <t xml:space="preserve">USD</t>
        </is>
      </c>
      <c r="I14" s="5">
        <f>G14</f>
        <v>120.0</v>
      </c>
      <c r="J14" s="5">
        <f>F14*I14</f>
        <v>120.0</v>
      </c>
      <c r="K14" s="6">
        <f>I14*'Read me'!$B$4</f>
        <v>37.2995</v>
      </c>
      <c r="L14" s="6">
        <f>F14*K14</f>
        <v>37.2995</v>
      </c>
      <c r="M14" s="2" t="inlineStr">
        <is>
          <t xml:space="preserve">Buy now</t>
        </is>
      </c>
      <c r="N14" s="2" t="inlineStr">
        <is>
          <t xml:space="preserve">Estimate</t>
        </is>
      </c>
      <c r="O14" s="2" t="inlineStr">
        <is>
          <t xml:space="preserve"/>
        </is>
      </c>
      <c r="Q14" s="3" t="inlineStr">
        <is>
          <t xml:space="preserve">2026-10-09</t>
        </is>
      </c>
      <c r="R14" s="2" t="inlineStr">
        <is>
          <t xml:space="preserve"/>
        </is>
      </c>
      <c r="S14" s="3" t="inlineStr">
        <is>
          <t xml:space="preserve">2026-10-11</t>
        </is>
      </c>
      <c r="T14" s="2" t="inlineStr">
        <is>
          <t xml:space="preserve">TC-02, Script 5</t>
        </is>
      </c>
      <c r="U14" s="7" t="inlineStr">
        <is>
          <t xml:space="preserve">Ask each supplier for density and the compressive stress–strain curve (crush stress, densification strain).</t>
        </is>
      </c>
    </row>
    <row r="15" ht="30" customHeight="1">
      <c r="A15" s="3" t="inlineStr">
        <is>
          <t xml:space="preserve">A14</t>
        </is>
      </c>
      <c r="B15" s="3" t="inlineStr">
        <is>
          <t xml:space="preserve">A</t>
        </is>
      </c>
      <c r="C15" s="2" t="inlineStr">
        <is>
          <t xml:space="preserve">TC-02 drop test</t>
        </is>
      </c>
      <c r="D15" s="2" t="inlineStr">
        <is>
          <t xml:space="preserve">Plywood and MDF sheets</t>
        </is>
      </c>
      <c r="E15" s="2" t="inlineStr">
        <is>
          <t xml:space="preserve">3 mm and 6 mm, laser-cutter bed size.</t>
        </is>
      </c>
      <c r="F15" s="4">
        <v>6</v>
      </c>
      <c r="G15" s="15">
        <v>8.0</v>
      </c>
      <c r="H15" s="3" t="inlineStr">
        <is>
          <t xml:space="preserve">USD</t>
        </is>
      </c>
      <c r="I15" s="5">
        <f>G15</f>
        <v>8.0</v>
      </c>
      <c r="J15" s="5">
        <f>F15*I15</f>
        <v>48.0</v>
      </c>
      <c r="K15" s="6">
        <f>I15*'Read me'!$B$4</f>
        <v>2.4866</v>
      </c>
      <c r="L15" s="6">
        <f>F15*K15</f>
        <v>14.9198</v>
      </c>
      <c r="M15" s="2" t="inlineStr">
        <is>
          <t xml:space="preserve">Buy now</t>
        </is>
      </c>
      <c r="N15" s="2" t="inlineStr">
        <is>
          <t xml:space="preserve">Estimate</t>
        </is>
      </c>
      <c r="O15" s="2" t="inlineStr">
        <is>
          <t xml:space="preserve"/>
        </is>
      </c>
      <c r="Q15" s="3" t="inlineStr">
        <is>
          <t xml:space="preserve">2026-10-09</t>
        </is>
      </c>
      <c r="R15" s="2" t="inlineStr">
        <is>
          <t xml:space="preserve"/>
        </is>
      </c>
      <c r="S15" s="3" t="inlineStr">
        <is>
          <t xml:space="preserve">2026-10-11</t>
        </is>
      </c>
      <c r="T15" s="2" t="inlineStr">
        <is>
          <t xml:space="preserve">TC-02 containers and fixture</t>
        </is>
      </c>
      <c r="U15" s="7" t="inlineStr">
        <is>
          <t xml:space="preserve"/>
        </is>
      </c>
    </row>
    <row r="16" ht="43.5" customHeight="1">
      <c r="A16" s="3" t="inlineStr">
        <is>
          <t xml:space="preserve">A15</t>
        </is>
      </c>
      <c r="B16" s="3" t="inlineStr">
        <is>
          <t xml:space="preserve">A</t>
        </is>
      </c>
      <c r="C16" s="2" t="inlineStr">
        <is>
          <t xml:space="preserve">TC-02 drop test</t>
        </is>
      </c>
      <c r="D16" s="2" t="inlineStr">
        <is>
          <t xml:space="preserve">Brass rod</t>
        </is>
      </c>
      <c r="E16" s="2" t="inlineStr">
        <is>
          <t xml:space="preserve">1/4 in (6.35 mm) brass, 300 mm long, for the quick-release pin replica. 6 mm metric is acceptable for testing.</t>
        </is>
      </c>
      <c r="F16" s="4">
        <v>2</v>
      </c>
      <c r="G16" s="15">
        <v>6.0</v>
      </c>
      <c r="H16" s="3" t="inlineStr">
        <is>
          <t xml:space="preserve">USD</t>
        </is>
      </c>
      <c r="I16" s="5">
        <f>G16</f>
        <v>6.0</v>
      </c>
      <c r="J16" s="5">
        <f>F16*I16</f>
        <v>12.0</v>
      </c>
      <c r="K16" s="6">
        <f>I16*'Read me'!$B$4</f>
        <v>1.865</v>
      </c>
      <c r="L16" s="6">
        <f>F16*K16</f>
        <v>3.7299</v>
      </c>
      <c r="M16" s="2" t="inlineStr">
        <is>
          <t xml:space="preserve">Buy now</t>
        </is>
      </c>
      <c r="N16" s="2" t="inlineStr">
        <is>
          <t xml:space="preserve">Estimate</t>
        </is>
      </c>
      <c r="O16" s="2" t="inlineStr">
        <is>
          <t xml:space="preserve"/>
        </is>
      </c>
      <c r="Q16" s="3" t="inlineStr">
        <is>
          <t xml:space="preserve">2026-10-09</t>
        </is>
      </c>
      <c r="R16" s="2" t="inlineStr">
        <is>
          <t xml:space="preserve"/>
        </is>
      </c>
      <c r="S16" s="3" t="inlineStr">
        <is>
          <t xml:space="preserve">2026-10-11</t>
        </is>
      </c>
      <c r="T16" s="2" t="inlineStr">
        <is>
          <t xml:space="preserve">TC-02</t>
        </is>
      </c>
      <c r="U16" s="7" t="inlineStr">
        <is>
          <t xml:space="preserve">The contest pin is 1/4 in brass (§3.1.3).</t>
        </is>
      </c>
    </row>
    <row r="17" ht="30" customHeight="1">
      <c r="A17" s="3" t="inlineStr">
        <is>
          <t xml:space="preserve">A16</t>
        </is>
      </c>
      <c r="B17" s="3" t="inlineStr">
        <is>
          <t xml:space="preserve">A</t>
        </is>
      </c>
      <c r="C17" s="2" t="inlineStr">
        <is>
          <t xml:space="preserve">TC-02 drop test</t>
        </is>
      </c>
      <c r="D17" s="2" t="inlineStr">
        <is>
          <t xml:space="preserve">Welded steel rings</t>
        </is>
      </c>
      <c r="E17" s="2" t="inlineStr">
        <is>
          <t xml:space="preserve">Welded (not split) stainless rings, wire diameter ≤ 3.0 mm, inside diameter ≥ 13 mm.</t>
        </is>
      </c>
      <c r="F17" s="4">
        <v>10</v>
      </c>
      <c r="G17" s="15">
        <v>1.0</v>
      </c>
      <c r="H17" s="3" t="inlineStr">
        <is>
          <t xml:space="preserve">USD</t>
        </is>
      </c>
      <c r="I17" s="5">
        <f>G17</f>
        <v>1.0</v>
      </c>
      <c r="J17" s="5">
        <f>F17*I17</f>
        <v>10.0</v>
      </c>
      <c r="K17" s="6">
        <f>I17*'Read me'!$B$4</f>
        <v>0.3108</v>
      </c>
      <c r="L17" s="6">
        <f>F17*K17</f>
        <v>3.1083</v>
      </c>
      <c r="M17" s="2" t="inlineStr">
        <is>
          <t xml:space="preserve">Buy now</t>
        </is>
      </c>
      <c r="N17" s="2" t="inlineStr">
        <is>
          <t xml:space="preserve">Estimate</t>
        </is>
      </c>
      <c r="O17" s="2" t="inlineStr">
        <is>
          <t xml:space="preserve"/>
        </is>
      </c>
      <c r="Q17" s="3" t="inlineStr">
        <is>
          <t xml:space="preserve">2026-10-09</t>
        </is>
      </c>
      <c r="R17" s="2" t="inlineStr">
        <is>
          <t xml:space="preserve"/>
        </is>
      </c>
      <c r="S17" s="3" t="inlineStr">
        <is>
          <t xml:space="preserve">2026-10-11</t>
        </is>
      </c>
      <c r="T17" s="2" t="inlineStr">
        <is>
          <t xml:space="preserve">TC-02, TC-04</t>
        </is>
      </c>
      <c r="U17" s="7" t="inlineStr">
        <is>
          <t xml:space="preserve">Rule: ID ≥ 1/2 in (12.7 mm), cross-section ≤ 1/8 in (3.18 mm) (§3.1.3).</t>
        </is>
      </c>
    </row>
    <row r="18" ht="30" customHeight="1">
      <c r="A18" s="3" t="inlineStr">
        <is>
          <t xml:space="preserve">A17</t>
        </is>
      </c>
      <c r="B18" s="3" t="inlineStr">
        <is>
          <t xml:space="preserve">A</t>
        </is>
      </c>
      <c r="C18" s="2" t="inlineStr">
        <is>
          <t xml:space="preserve">TC-02 drop test</t>
        </is>
      </c>
      <c r="D18" s="2" t="inlineStr">
        <is>
          <t xml:space="preserve">Rigging hardware assortment</t>
        </is>
      </c>
      <c r="E18" s="2" t="inlineStr">
        <is>
          <t xml:space="preserve">Mini stainless snap hooks, quick links, ball-lock quick-release pins, crimp sleeves.</t>
        </is>
      </c>
      <c r="F18" s="4">
        <v>1</v>
      </c>
      <c r="G18" s="15">
        <v>30.0</v>
      </c>
      <c r="H18" s="3" t="inlineStr">
        <is>
          <t xml:space="preserve">USD</t>
        </is>
      </c>
      <c r="I18" s="5">
        <f>G18</f>
        <v>30.0</v>
      </c>
      <c r="J18" s="5">
        <f>F18*I18</f>
        <v>30.0</v>
      </c>
      <c r="K18" s="6">
        <f>I18*'Read me'!$B$4</f>
        <v>9.3249</v>
      </c>
      <c r="L18" s="6">
        <f>F18*K18</f>
        <v>9.3249</v>
      </c>
      <c r="M18" s="2" t="inlineStr">
        <is>
          <t xml:space="preserve">Buy now</t>
        </is>
      </c>
      <c r="N18" s="2" t="inlineStr">
        <is>
          <t xml:space="preserve">Estimate</t>
        </is>
      </c>
      <c r="O18" s="2" t="inlineStr">
        <is>
          <t xml:space="preserve"/>
        </is>
      </c>
      <c r="Q18" s="3" t="inlineStr">
        <is>
          <t xml:space="preserve">2026-10-09</t>
        </is>
      </c>
      <c r="R18" s="2" t="inlineStr">
        <is>
          <t xml:space="preserve"/>
        </is>
      </c>
      <c r="S18" s="3" t="inlineStr">
        <is>
          <t xml:space="preserve">2026-10-11</t>
        </is>
      </c>
      <c r="T18" s="2" t="inlineStr">
        <is>
          <t xml:space="preserve">TC-02, TC-04, SR-10</t>
        </is>
      </c>
      <c r="U18" s="7" t="inlineStr">
        <is>
          <t xml:space="preserve"/>
        </is>
      </c>
    </row>
    <row r="19" ht="30" customHeight="1">
      <c r="A19" s="3" t="inlineStr">
        <is>
          <t xml:space="preserve">A18</t>
        </is>
      </c>
      <c r="B19" s="3" t="inlineStr">
        <is>
          <t xml:space="preserve">A</t>
        </is>
      </c>
      <c r="C19" s="2" t="inlineStr">
        <is>
          <t xml:space="preserve">TC-02 drop test</t>
        </is>
      </c>
      <c r="D19" s="2" t="inlineStr">
        <is>
          <t xml:space="preserve">High-g accelerometer (optional)</t>
        </is>
      </c>
      <c r="E19" s="2" t="inlineStr">
        <is>
          <t xml:space="preserve">Adafruit H3LIS331 ±400 g breakout (product 4627), logged by a Pico (A24).</t>
        </is>
      </c>
      <c r="F19" s="4">
        <v>1</v>
      </c>
      <c r="G19" s="15">
        <v>24.95</v>
      </c>
      <c r="H19" s="3" t="inlineStr">
        <is>
          <t xml:space="preserve">USD</t>
        </is>
      </c>
      <c r="I19" s="5">
        <f>G19</f>
        <v>24.95</v>
      </c>
      <c r="J19" s="5">
        <f>F19*I19</f>
        <v>24.95</v>
      </c>
      <c r="K19" s="6">
        <f>I19*'Read me'!$B$4</f>
        <v>7.7552</v>
      </c>
      <c r="L19" s="6">
        <f>F19*K19</f>
        <v>7.7552</v>
      </c>
      <c r="M19" s="2" t="inlineStr">
        <is>
          <t xml:space="preserve">Buy now</t>
        </is>
      </c>
      <c r="N19" s="2" t="inlineStr">
        <is>
          <t xml:space="preserve">Listing</t>
        </is>
      </c>
      <c r="O19" s="2" t="inlineStr">
        <is>
          <t xml:space="preserve">Adafruit</t>
        </is>
      </c>
      <c r="P19" s="8" t="inlineStr">
        <is>
          <t xml:space="preserve">https://www.adafruit.com/product/4627</t>
        </is>
      </c>
      <c r="Q19" s="3" t="inlineStr">
        <is>
          <t xml:space="preserve">2026-10-09</t>
        </is>
      </c>
      <c r="R19" s="2" t="inlineStr">
        <is>
          <t xml:space="preserve">Vendor page</t>
        </is>
      </c>
      <c r="S19" s="3" t="inlineStr">
        <is>
          <t xml:space="preserve">2026-10-14</t>
        </is>
      </c>
      <c r="T19" s="2" t="inlineStr">
        <is>
          <t xml:space="preserve">TC-02 peak g</t>
        </is>
      </c>
      <c r="U19" s="7" t="inlineStr">
        <is>
          <t xml:space="preserve">Optional. Without it, TC-02 still runs on damage checks and foam set.</t>
        </is>
      </c>
    </row>
    <row r="20" ht="30" customHeight="1">
      <c r="A20" s="3" t="inlineStr">
        <is>
          <t xml:space="preserve">A19</t>
        </is>
      </c>
      <c r="B20" s="3" t="inlineStr">
        <is>
          <t xml:space="preserve">A</t>
        </is>
      </c>
      <c r="C20" s="2" t="inlineStr">
        <is>
          <t xml:space="preserve">TC-03 lights</t>
        </is>
      </c>
      <c r="D20" s="2" t="inlineStr">
        <is>
          <t xml:space="preserve">Colour LED stars</t>
        </is>
      </c>
      <c r="E20" s="2" t="inlineStr">
        <is>
          <t xml:space="preserve">Cree XP-E2 single-emitter 20 mm star: red, red-orange, amber (1000 mA max).</t>
        </is>
      </c>
      <c r="F20" s="4">
        <v>6</v>
      </c>
      <c r="G20" s="15">
        <v>5.71</v>
      </c>
      <c r="H20" s="3" t="inlineStr">
        <is>
          <t xml:space="preserve">USD</t>
        </is>
      </c>
      <c r="I20" s="5">
        <f>G20</f>
        <v>5.71</v>
      </c>
      <c r="J20" s="5">
        <f>F20*I20</f>
        <v>34.26</v>
      </c>
      <c r="K20" s="6">
        <f>I20*'Read me'!$B$4</f>
        <v>1.7748</v>
      </c>
      <c r="L20" s="6">
        <f>F20*K20</f>
        <v>10.649</v>
      </c>
      <c r="M20" s="2" t="inlineStr">
        <is>
          <t xml:space="preserve">Buy now</t>
        </is>
      </c>
      <c r="N20" s="2" t="inlineStr">
        <is>
          <t xml:space="preserve">Listing</t>
        </is>
      </c>
      <c r="O20" s="2" t="inlineStr">
        <is>
          <t xml:space="preserve">LEDSupply (regular price; 0 in stock on 9 Oct)</t>
        </is>
      </c>
      <c r="P20" s="8" t="inlineStr">
        <is>
          <t xml:space="preserve">https://www.ledsupply.com/leds/cree-xlamp-xp-e2-color-high-power-led-star</t>
        </is>
      </c>
      <c r="Q20" s="3" t="inlineStr">
        <is>
          <t xml:space="preserve">2026-10-09</t>
        </is>
      </c>
      <c r="R20" s="2" t="inlineStr">
        <is>
          <t xml:space="preserve">Search result</t>
        </is>
      </c>
      <c r="S20" s="3" t="inlineStr">
        <is>
          <t xml:space="preserve">2026-10-14</t>
        </is>
      </c>
      <c r="T20" s="2" t="inlineStr">
        <is>
          <t xml:space="preserve">TC-03</t>
        </is>
      </c>
      <c r="U20" s="7" t="inlineStr">
        <is>
          <t xml:space="preserve"/>
        </is>
      </c>
    </row>
    <row r="21" ht="16.5" customHeight="1">
      <c r="A21" s="3" t="inlineStr">
        <is>
          <t xml:space="preserve">A20</t>
        </is>
      </c>
      <c r="B21" s="3" t="inlineStr">
        <is>
          <t xml:space="preserve">A</t>
        </is>
      </c>
      <c r="C21" s="2" t="inlineStr">
        <is>
          <t xml:space="preserve">TC-03 lights</t>
        </is>
      </c>
      <c r="D21" s="2" t="inlineStr">
        <is>
          <t xml:space="preserve">White LED stars</t>
        </is>
      </c>
      <c r="E21" s="2" t="inlineStr">
        <is>
          <t xml:space="preserve">Cree XP-E2 or XP-G white, 20 mm star.</t>
        </is>
      </c>
      <c r="F21" s="4">
        <v>4</v>
      </c>
      <c r="G21" s="15">
        <v>6.0</v>
      </c>
      <c r="H21" s="3" t="inlineStr">
        <is>
          <t xml:space="preserve">USD</t>
        </is>
      </c>
      <c r="I21" s="5">
        <f>G21</f>
        <v>6.0</v>
      </c>
      <c r="J21" s="5">
        <f>F21*I21</f>
        <v>24.0</v>
      </c>
      <c r="K21" s="6">
        <f>I21*'Read me'!$B$4</f>
        <v>1.865</v>
      </c>
      <c r="L21" s="6">
        <f>F21*K21</f>
        <v>7.4599</v>
      </c>
      <c r="M21" s="2" t="inlineStr">
        <is>
          <t xml:space="preserve">Buy now</t>
        </is>
      </c>
      <c r="N21" s="2" t="inlineStr">
        <is>
          <t xml:space="preserve">Estimate</t>
        </is>
      </c>
      <c r="O21" s="2" t="inlineStr">
        <is>
          <t xml:space="preserve"/>
        </is>
      </c>
      <c r="Q21" s="3" t="inlineStr">
        <is>
          <t xml:space="preserve">2026-10-09</t>
        </is>
      </c>
      <c r="R21" s="2" t="inlineStr">
        <is>
          <t xml:space="preserve"/>
        </is>
      </c>
      <c r="S21" s="3" t="inlineStr">
        <is>
          <t xml:space="preserve">2026-10-14</t>
        </is>
      </c>
      <c r="T21" s="2" t="inlineStr">
        <is>
          <t xml:space="preserve">TC-03</t>
        </is>
      </c>
      <c r="U21" s="7" t="inlineStr">
        <is>
          <t xml:space="preserve"/>
        </is>
      </c>
    </row>
    <row r="22" ht="30" customHeight="1">
      <c r="A22" s="3" t="inlineStr">
        <is>
          <t xml:space="preserve">A21</t>
        </is>
      </c>
      <c r="B22" s="3" t="inlineStr">
        <is>
          <t xml:space="preserve">A</t>
        </is>
      </c>
      <c r="C22" s="2" t="inlineStr">
        <is>
          <t xml:space="preserve">TC-03 lights</t>
        </is>
      </c>
      <c r="D22" s="2" t="inlineStr">
        <is>
          <t xml:space="preserve">LED optics</t>
        </is>
      </c>
      <c r="E22" s="2" t="inlineStr">
        <is>
          <t xml:space="preserve">20 mm star optics, narrow (about 15°) and medium (about 30°).</t>
        </is>
      </c>
      <c r="F22" s="4">
        <v>8</v>
      </c>
      <c r="G22" s="15">
        <v>2.0</v>
      </c>
      <c r="H22" s="3" t="inlineStr">
        <is>
          <t xml:space="preserve">USD</t>
        </is>
      </c>
      <c r="I22" s="5">
        <f>G22</f>
        <v>2.0</v>
      </c>
      <c r="J22" s="5">
        <f>F22*I22</f>
        <v>16.0</v>
      </c>
      <c r="K22" s="6">
        <f>I22*'Read me'!$B$4</f>
        <v>0.6217</v>
      </c>
      <c r="L22" s="6">
        <f>F22*K22</f>
        <v>4.9733</v>
      </c>
      <c r="M22" s="2" t="inlineStr">
        <is>
          <t xml:space="preserve">Buy now</t>
        </is>
      </c>
      <c r="N22" s="2" t="inlineStr">
        <is>
          <t xml:space="preserve">Estimate</t>
        </is>
      </c>
      <c r="O22" s="2" t="inlineStr">
        <is>
          <t xml:space="preserve"/>
        </is>
      </c>
      <c r="Q22" s="3" t="inlineStr">
        <is>
          <t xml:space="preserve">2026-10-09</t>
        </is>
      </c>
      <c r="R22" s="2" t="inlineStr">
        <is>
          <t xml:space="preserve"/>
        </is>
      </c>
      <c r="S22" s="3" t="inlineStr">
        <is>
          <t xml:space="preserve">2026-10-14</t>
        </is>
      </c>
      <c r="T22" s="2" t="inlineStr">
        <is>
          <t xml:space="preserve">TC-03</t>
        </is>
      </c>
      <c r="U22" s="7" t="inlineStr">
        <is>
          <t xml:space="preserve"/>
        </is>
      </c>
    </row>
    <row r="23" ht="30" customHeight="1">
      <c r="A23" s="3" t="inlineStr">
        <is>
          <t xml:space="preserve">A22</t>
        </is>
      </c>
      <c r="B23" s="3" t="inlineStr">
        <is>
          <t xml:space="preserve">A</t>
        </is>
      </c>
      <c r="C23" s="2" t="inlineStr">
        <is>
          <t xml:space="preserve">TC-03 lights</t>
        </is>
      </c>
      <c r="D23" s="2" t="inlineStr">
        <is>
          <t xml:space="preserve">Constant-current LED drivers</t>
        </is>
      </c>
      <c r="E23" s="2" t="inlineStr">
        <is>
          <t xml:space="preserve">350–700 mA buck modules with a PWM dimming input.</t>
        </is>
      </c>
      <c r="F23" s="4">
        <v>6</v>
      </c>
      <c r="G23" s="15">
        <v>3.0</v>
      </c>
      <c r="H23" s="3" t="inlineStr">
        <is>
          <t xml:space="preserve">USD</t>
        </is>
      </c>
      <c r="I23" s="5">
        <f>G23</f>
        <v>3.0</v>
      </c>
      <c r="J23" s="5">
        <f>F23*I23</f>
        <v>18.0</v>
      </c>
      <c r="K23" s="6">
        <f>I23*'Read me'!$B$4</f>
        <v>0.9325</v>
      </c>
      <c r="L23" s="6">
        <f>F23*K23</f>
        <v>5.5949</v>
      </c>
      <c r="M23" s="2" t="inlineStr">
        <is>
          <t xml:space="preserve">Buy now</t>
        </is>
      </c>
      <c r="N23" s="2" t="inlineStr">
        <is>
          <t xml:space="preserve">Estimate</t>
        </is>
      </c>
      <c r="O23" s="2" t="inlineStr">
        <is>
          <t xml:space="preserve"/>
        </is>
      </c>
      <c r="Q23" s="3" t="inlineStr">
        <is>
          <t xml:space="preserve">2026-10-09</t>
        </is>
      </c>
      <c r="R23" s="2" t="inlineStr">
        <is>
          <t xml:space="preserve"/>
        </is>
      </c>
      <c r="S23" s="3" t="inlineStr">
        <is>
          <t xml:space="preserve">2026-10-14</t>
        </is>
      </c>
      <c r="T23" s="2" t="inlineStr">
        <is>
          <t xml:space="preserve">TC-03</t>
        </is>
      </c>
      <c r="U23" s="7" t="inlineStr">
        <is>
          <t xml:space="preserve"/>
        </is>
      </c>
    </row>
    <row r="24" ht="43.5" customHeight="1">
      <c r="A24" s="3" t="inlineStr">
        <is>
          <t xml:space="preserve">A23</t>
        </is>
      </c>
      <c r="B24" s="3" t="inlineStr">
        <is>
          <t xml:space="preserve">A</t>
        </is>
      </c>
      <c r="C24" s="2" t="inlineStr">
        <is>
          <t xml:space="preserve">TC-03 lights</t>
        </is>
      </c>
      <c r="D24" s="2" t="inlineStr">
        <is>
          <t xml:space="preserve">5 mm LEDs and LED strip</t>
        </is>
      </c>
      <c r="E24" s="2" t="inlineStr">
        <is>
          <t xml:space="preserve">Ultra-bright 5 mm assortment (white, red, amber, green); 5 V SMD strip, 1 m each of white and red.</t>
        </is>
      </c>
      <c r="F24" s="4">
        <v>1</v>
      </c>
      <c r="G24" s="15">
        <v>20.0</v>
      </c>
      <c r="H24" s="3" t="inlineStr">
        <is>
          <t xml:space="preserve">USD</t>
        </is>
      </c>
      <c r="I24" s="5">
        <f>G24</f>
        <v>20.0</v>
      </c>
      <c r="J24" s="5">
        <f>F24*I24</f>
        <v>20.0</v>
      </c>
      <c r="K24" s="6">
        <f>I24*'Read me'!$B$4</f>
        <v>6.2166</v>
      </c>
      <c r="L24" s="6">
        <f>F24*K24</f>
        <v>6.2166</v>
      </c>
      <c r="M24" s="2" t="inlineStr">
        <is>
          <t xml:space="preserve">Buy now</t>
        </is>
      </c>
      <c r="N24" s="2" t="inlineStr">
        <is>
          <t xml:space="preserve">Estimate</t>
        </is>
      </c>
      <c r="O24" s="2" t="inlineStr">
        <is>
          <t xml:space="preserve"/>
        </is>
      </c>
      <c r="Q24" s="3" t="inlineStr">
        <is>
          <t xml:space="preserve">2026-10-09</t>
        </is>
      </c>
      <c r="R24" s="2" t="inlineStr">
        <is>
          <t xml:space="preserve"/>
        </is>
      </c>
      <c r="S24" s="3" t="inlineStr">
        <is>
          <t xml:space="preserve">2026-10-14</t>
        </is>
      </c>
      <c r="T24" s="2" t="inlineStr">
        <is>
          <t xml:space="preserve">TC-03</t>
        </is>
      </c>
      <c r="U24" s="7" t="inlineStr">
        <is>
          <t xml:space="preserve"/>
        </is>
      </c>
    </row>
    <row r="25" ht="30" customHeight="1">
      <c r="A25" s="3" t="inlineStr">
        <is>
          <t xml:space="preserve">A24</t>
        </is>
      </c>
      <c r="B25" s="3" t="inlineStr">
        <is>
          <t xml:space="preserve">A</t>
        </is>
      </c>
      <c r="C25" s="2" t="inlineStr">
        <is>
          <t xml:space="preserve">EE bench</t>
        </is>
      </c>
      <c r="D25" s="2" t="inlineStr">
        <is>
          <t xml:space="preserve">Microcontroller boards</t>
        </is>
      </c>
      <c r="E25" s="2" t="inlineStr">
        <is>
          <t xml:space="preserve">Raspberry Pi Pico (RP2040): TC-03 flash-pattern driver, test-box prototype, A18 logger.</t>
        </is>
      </c>
      <c r="F25" s="4">
        <v>4</v>
      </c>
      <c r="G25" s="15">
        <v>4.0</v>
      </c>
      <c r="H25" s="3" t="inlineStr">
        <is>
          <t xml:space="preserve">USD</t>
        </is>
      </c>
      <c r="I25" s="5">
        <f>G25</f>
        <v>4.0</v>
      </c>
      <c r="J25" s="5">
        <f>F25*I25</f>
        <v>16.0</v>
      </c>
      <c r="K25" s="6">
        <f>I25*'Read me'!$B$4</f>
        <v>1.2433</v>
      </c>
      <c r="L25" s="6">
        <f>F25*K25</f>
        <v>4.9733</v>
      </c>
      <c r="M25" s="2" t="inlineStr">
        <is>
          <t xml:space="preserve">Buy now</t>
        </is>
      </c>
      <c r="N25" s="2" t="inlineStr">
        <is>
          <t xml:space="preserve">Listing</t>
        </is>
      </c>
      <c r="O25" s="2" t="inlineStr">
        <is>
          <t xml:space="preserve">Raspberry Pi (list price)</t>
        </is>
      </c>
      <c r="P25" s="8" t="inlineStr">
        <is>
          <t xml:space="preserve">https://www.raspberrypi.com/products/raspberry-pi-pico/</t>
        </is>
      </c>
      <c r="Q25" s="3" t="inlineStr">
        <is>
          <t xml:space="preserve">2026-10-09</t>
        </is>
      </c>
      <c r="R25" s="2" t="inlineStr">
        <is>
          <t xml:space="preserve">Vendor page</t>
        </is>
      </c>
      <c r="S25" s="3" t="inlineStr">
        <is>
          <t xml:space="preserve">2026-10-14</t>
        </is>
      </c>
      <c r="T25" s="2" t="inlineStr">
        <is>
          <t xml:space="preserve">TC-03, EE lane</t>
        </is>
      </c>
      <c r="U25" s="7" t="inlineStr">
        <is>
          <t xml:space="preserve"/>
        </is>
      </c>
    </row>
    <row r="26" ht="30" customHeight="1">
      <c r="A26" s="3" t="inlineStr">
        <is>
          <t xml:space="preserve">A25</t>
        </is>
      </c>
      <c r="B26" s="3" t="inlineStr">
        <is>
          <t xml:space="preserve">A</t>
        </is>
      </c>
      <c r="C26" s="2" t="inlineStr">
        <is>
          <t xml:space="preserve">EE bench</t>
        </is>
      </c>
      <c r="D26" s="2" t="inlineStr">
        <is>
          <t xml:space="preserve">1S LiPo packs, labelled</t>
        </is>
      </c>
      <c r="E26" s="2" t="inlineStr">
        <is>
          <t xml:space="preserve">COTS 1S LiPo, 300–1000 mAh; the label shows chemistry, capacity, voltage and C-rating.</t>
        </is>
      </c>
      <c r="F26" s="4">
        <v>4</v>
      </c>
      <c r="G26" s="15">
        <v>8.0</v>
      </c>
      <c r="H26" s="3" t="inlineStr">
        <is>
          <t xml:space="preserve">USD</t>
        </is>
      </c>
      <c r="I26" s="5">
        <f>G26</f>
        <v>8.0</v>
      </c>
      <c r="J26" s="5">
        <f>F26*I26</f>
        <v>32.0</v>
      </c>
      <c r="K26" s="6">
        <f>I26*'Read me'!$B$4</f>
        <v>2.4866</v>
      </c>
      <c r="L26" s="6">
        <f>F26*K26</f>
        <v>9.9465</v>
      </c>
      <c r="M26" s="2" t="inlineStr">
        <is>
          <t xml:space="preserve">Buy now</t>
        </is>
      </c>
      <c r="N26" s="2" t="inlineStr">
        <is>
          <t xml:space="preserve">Estimate</t>
        </is>
      </c>
      <c r="O26" s="2" t="inlineStr">
        <is>
          <t xml:space="preserve"/>
        </is>
      </c>
      <c r="Q26" s="3" t="inlineStr">
        <is>
          <t xml:space="preserve">2026-10-09</t>
        </is>
      </c>
      <c r="R26" s="2" t="inlineStr">
        <is>
          <t xml:space="preserve"/>
        </is>
      </c>
      <c r="S26" s="3" t="inlineStr">
        <is>
          <t xml:space="preserve">2026-10-14</t>
        </is>
      </c>
      <c r="T26" s="2" t="inlineStr">
        <is>
          <t xml:space="preserve">TC-03, sensor battery</t>
        </is>
      </c>
      <c r="U26" s="7" t="inlineStr">
        <is>
          <t xml:space="preserve">The sensor battery must meet §3.2.3 (§3.1.1).</t>
        </is>
      </c>
    </row>
    <row r="27" ht="16.5" customHeight="1">
      <c r="A27" s="3" t="inlineStr">
        <is>
          <t xml:space="preserve">A26</t>
        </is>
      </c>
      <c r="B27" s="3" t="inlineStr">
        <is>
          <t xml:space="preserve">A</t>
        </is>
      </c>
      <c r="C27" s="2" t="inlineStr">
        <is>
          <t xml:space="preserve">EE bench</t>
        </is>
      </c>
      <c r="D27" s="2" t="inlineStr">
        <is>
          <t xml:space="preserve">1S LiPo charger</t>
        </is>
      </c>
      <c r="E27" s="2" t="inlineStr">
        <is>
          <t xml:space="preserve">USB charger for the A25 packs.</t>
        </is>
      </c>
      <c r="F27" s="4">
        <v>1</v>
      </c>
      <c r="G27" s="15">
        <v>12.0</v>
      </c>
      <c r="H27" s="3" t="inlineStr">
        <is>
          <t xml:space="preserve">USD</t>
        </is>
      </c>
      <c r="I27" s="5">
        <f>G27</f>
        <v>12.0</v>
      </c>
      <c r="J27" s="5">
        <f>F27*I27</f>
        <v>12.0</v>
      </c>
      <c r="K27" s="6">
        <f>I27*'Read me'!$B$4</f>
        <v>3.7299</v>
      </c>
      <c r="L27" s="6">
        <f>F27*K27</f>
        <v>3.7299</v>
      </c>
      <c r="M27" s="2" t="inlineStr">
        <is>
          <t xml:space="preserve">Buy now</t>
        </is>
      </c>
      <c r="N27" s="2" t="inlineStr">
        <is>
          <t xml:space="preserve">Estimate</t>
        </is>
      </c>
      <c r="O27" s="2" t="inlineStr">
        <is>
          <t xml:space="preserve"/>
        </is>
      </c>
      <c r="Q27" s="3" t="inlineStr">
        <is>
          <t xml:space="preserve">2026-10-09</t>
        </is>
      </c>
      <c r="R27" s="2" t="inlineStr">
        <is>
          <t xml:space="preserve"/>
        </is>
      </c>
      <c r="S27" s="3" t="inlineStr">
        <is>
          <t xml:space="preserve">2026-10-14</t>
        </is>
      </c>
      <c r="T27" s="2" t="inlineStr">
        <is>
          <t xml:space="preserve">TC-03</t>
        </is>
      </c>
      <c r="U27" s="7" t="inlineStr">
        <is>
          <t xml:space="preserve"/>
        </is>
      </c>
    </row>
    <row r="28" ht="16.5" customHeight="1">
      <c r="A28" s="3" t="inlineStr">
        <is>
          <t xml:space="preserve">A27</t>
        </is>
      </c>
      <c r="B28" s="3" t="inlineStr">
        <is>
          <t xml:space="preserve">A</t>
        </is>
      </c>
      <c r="C28" s="2" t="inlineStr">
        <is>
          <t xml:space="preserve">EE bench</t>
        </is>
      </c>
      <c r="D28" s="2" t="inlineStr">
        <is>
          <t xml:space="preserve">Inline current meter</t>
        </is>
      </c>
      <c r="E28" s="2" t="inlineStr">
        <is>
          <t xml:space="preserve">USB / DC power meter, 0–5 A, 3–30 V.</t>
        </is>
      </c>
      <c r="F28" s="4">
        <v>1</v>
      </c>
      <c r="G28" s="15">
        <v>15.0</v>
      </c>
      <c r="H28" s="3" t="inlineStr">
        <is>
          <t xml:space="preserve">USD</t>
        </is>
      </c>
      <c r="I28" s="5">
        <f>G28</f>
        <v>15.0</v>
      </c>
      <c r="J28" s="5">
        <f>F28*I28</f>
        <v>15.0</v>
      </c>
      <c r="K28" s="6">
        <f>I28*'Read me'!$B$4</f>
        <v>4.6624</v>
      </c>
      <c r="L28" s="6">
        <f>F28*K28</f>
        <v>4.6624</v>
      </c>
      <c r="M28" s="2" t="inlineStr">
        <is>
          <t xml:space="preserve">Buy now</t>
        </is>
      </c>
      <c r="N28" s="2" t="inlineStr">
        <is>
          <t xml:space="preserve">Estimate</t>
        </is>
      </c>
      <c r="O28" s="2" t="inlineStr">
        <is>
          <t xml:space="preserve"/>
        </is>
      </c>
      <c r="Q28" s="3" t="inlineStr">
        <is>
          <t xml:space="preserve">2026-10-09</t>
        </is>
      </c>
      <c r="R28" s="2" t="inlineStr">
        <is>
          <t xml:space="preserve"/>
        </is>
      </c>
      <c r="S28" s="3" t="inlineStr">
        <is>
          <t xml:space="preserve">2026-10-14</t>
        </is>
      </c>
      <c r="T28" s="2" t="inlineStr">
        <is>
          <t xml:space="preserve">TC-03</t>
        </is>
      </c>
      <c r="U28" s="7" t="inlineStr">
        <is>
          <t xml:space="preserve"/>
        </is>
      </c>
    </row>
    <row r="29" ht="43.5" customHeight="1">
      <c r="A29" s="3" t="inlineStr">
        <is>
          <t xml:space="preserve">A28</t>
        </is>
      </c>
      <c r="B29" s="3" t="inlineStr">
        <is>
          <t xml:space="preserve">A</t>
        </is>
      </c>
      <c r="C29" s="2" t="inlineStr">
        <is>
          <t xml:space="preserve">EE bench</t>
        </is>
      </c>
      <c r="D29" s="2" t="inlineStr">
        <is>
          <t xml:space="preserve">Electronics consumables</t>
        </is>
      </c>
      <c r="E29" s="2" t="inlineStr">
        <is>
          <t xml:space="preserve">Logic-level MOSFETs, resistor kit, perfboard, 26–30 AWG silicone wire, heat-shrink, breadboard, jumpers.</t>
        </is>
      </c>
      <c r="F29" s="4">
        <v>1</v>
      </c>
      <c r="G29" s="15">
        <v>35.0</v>
      </c>
      <c r="H29" s="3" t="inlineStr">
        <is>
          <t xml:space="preserve">USD</t>
        </is>
      </c>
      <c r="I29" s="5">
        <f>G29</f>
        <v>35.0</v>
      </c>
      <c r="J29" s="5">
        <f>F29*I29</f>
        <v>35.0</v>
      </c>
      <c r="K29" s="6">
        <f>I29*'Read me'!$B$4</f>
        <v>10.879</v>
      </c>
      <c r="L29" s="6">
        <f>F29*K29</f>
        <v>10.879</v>
      </c>
      <c r="M29" s="2" t="inlineStr">
        <is>
          <t xml:space="preserve">Buy now</t>
        </is>
      </c>
      <c r="N29" s="2" t="inlineStr">
        <is>
          <t xml:space="preserve">Estimate</t>
        </is>
      </c>
      <c r="O29" s="2" t="inlineStr">
        <is>
          <t xml:space="preserve"/>
        </is>
      </c>
      <c r="Q29" s="3" t="inlineStr">
        <is>
          <t xml:space="preserve">2026-10-09</t>
        </is>
      </c>
      <c r="R29" s="2" t="inlineStr">
        <is>
          <t xml:space="preserve"/>
        </is>
      </c>
      <c r="S29" s="3" t="inlineStr">
        <is>
          <t xml:space="preserve">2026-10-14</t>
        </is>
      </c>
      <c r="T29" s="2" t="inlineStr">
        <is>
          <t xml:space="preserve">TC-03, EE lane</t>
        </is>
      </c>
      <c r="U29" s="7" t="inlineStr">
        <is>
          <t xml:space="preserve"/>
        </is>
      </c>
    </row>
    <row r="30" ht="43.5" customHeight="1">
      <c r="A30" s="3" t="inlineStr">
        <is>
          <t xml:space="preserve">A29</t>
        </is>
      </c>
      <c r="B30" s="3" t="inlineStr">
        <is>
          <t xml:space="preserve">A</t>
        </is>
      </c>
      <c r="C30" s="2" t="inlineStr">
        <is>
          <t xml:space="preserve">Fabrication and mock-ups</t>
        </is>
      </c>
      <c r="D30" s="2" t="inlineStr">
        <is>
          <t xml:space="preserve">PLA filament</t>
        </is>
      </c>
      <c r="E30" s="2" t="inlineStr">
        <is>
          <t xml:space="preserve">1.75 mm, 1 kg.</t>
        </is>
      </c>
      <c r="F30" s="4">
        <v>3</v>
      </c>
      <c r="G30" s="15">
        <v>23.0</v>
      </c>
      <c r="H30" s="3" t="inlineStr">
        <is>
          <t xml:space="preserve">USD</t>
        </is>
      </c>
      <c r="I30" s="5">
        <f>G30</f>
        <v>23.0</v>
      </c>
      <c r="J30" s="5">
        <f>F30*I30</f>
        <v>69.0</v>
      </c>
      <c r="K30" s="6">
        <f>I30*'Read me'!$B$4</f>
        <v>7.1491</v>
      </c>
      <c r="L30" s="6">
        <f>F30*K30</f>
        <v>21.4472</v>
      </c>
      <c r="M30" s="2" t="inlineStr">
        <is>
          <t xml:space="preserve">Buy now</t>
        </is>
      </c>
      <c r="N30" s="2" t="inlineStr">
        <is>
          <t xml:space="preserve">Estimate</t>
        </is>
      </c>
      <c r="O30" s="2" t="inlineStr">
        <is>
          <t xml:space="preserve"/>
        </is>
      </c>
      <c r="Q30" s="3" t="inlineStr">
        <is>
          <t xml:space="preserve">2026-10-09</t>
        </is>
      </c>
      <c r="R30" s="2" t="inlineStr">
        <is>
          <t xml:space="preserve"/>
        </is>
      </c>
      <c r="S30" s="3" t="inlineStr">
        <is>
          <t xml:space="preserve">2026-10-11</t>
        </is>
      </c>
      <c r="T30" s="2" t="inlineStr">
        <is>
          <t xml:space="preserve">TC-01 bodies, TC-02 dummies, rig adapters</t>
        </is>
      </c>
      <c r="U30" s="7" t="inlineStr">
        <is>
          <t xml:space="preserve">Bambu Lab PLA Basic seen at USD 19.99–22.99 in regional stores (search, 9 Oct).</t>
        </is>
      </c>
    </row>
    <row r="31" ht="30" customHeight="1">
      <c r="A31" s="3" t="inlineStr">
        <is>
          <t xml:space="preserve">A30</t>
        </is>
      </c>
      <c r="B31" s="3" t="inlineStr">
        <is>
          <t xml:space="preserve">A</t>
        </is>
      </c>
      <c r="C31" s="2" t="inlineStr">
        <is>
          <t xml:space="preserve">Fabrication and mock-ups</t>
        </is>
      </c>
      <c r="D31" s="2" t="inlineStr">
        <is>
          <t xml:space="preserve">PETG filament</t>
        </is>
      </c>
      <c r="E31" s="2" t="inlineStr">
        <is>
          <t xml:space="preserve">1.75 mm, 1 kg.</t>
        </is>
      </c>
      <c r="F31" s="4">
        <v>2</v>
      </c>
      <c r="G31" s="15">
        <v>23.0</v>
      </c>
      <c r="H31" s="3" t="inlineStr">
        <is>
          <t xml:space="preserve">USD</t>
        </is>
      </c>
      <c r="I31" s="5">
        <f>G31</f>
        <v>23.0</v>
      </c>
      <c r="J31" s="5">
        <f>F31*I31</f>
        <v>46.0</v>
      </c>
      <c r="K31" s="6">
        <f>I31*'Read me'!$B$4</f>
        <v>7.1491</v>
      </c>
      <c r="L31" s="6">
        <f>F31*K31</f>
        <v>14.2981</v>
      </c>
      <c r="M31" s="2" t="inlineStr">
        <is>
          <t xml:space="preserve">Buy now</t>
        </is>
      </c>
      <c r="N31" s="2" t="inlineStr">
        <is>
          <t xml:space="preserve">Estimate</t>
        </is>
      </c>
      <c r="O31" s="2" t="inlineStr">
        <is>
          <t xml:space="preserve"/>
        </is>
      </c>
      <c r="Q31" s="3" t="inlineStr">
        <is>
          <t xml:space="preserve">2026-10-09</t>
        </is>
      </c>
      <c r="R31" s="2" t="inlineStr">
        <is>
          <t xml:space="preserve"/>
        </is>
      </c>
      <c r="S31" s="3" t="inlineStr">
        <is>
          <t xml:space="preserve">2026-10-11</t>
        </is>
      </c>
      <c r="T31" s="2" t="inlineStr">
        <is>
          <t xml:space="preserve">Containers, fixtures</t>
        </is>
      </c>
      <c r="U31" s="7" t="inlineStr">
        <is>
          <t xml:space="preserve"/>
        </is>
      </c>
    </row>
    <row r="32" ht="30" customHeight="1">
      <c r="A32" s="3" t="inlineStr">
        <is>
          <t xml:space="preserve">A31</t>
        </is>
      </c>
      <c r="B32" s="3" t="inlineStr">
        <is>
          <t xml:space="preserve">A</t>
        </is>
      </c>
      <c r="C32" s="2" t="inlineStr">
        <is>
          <t xml:space="preserve">Fabrication and mock-ups</t>
        </is>
      </c>
      <c r="D32" s="2" t="inlineStr">
        <is>
          <t xml:space="preserve">TPU 95A filament</t>
        </is>
      </c>
      <c r="E32" s="2" t="inlineStr">
        <is>
          <t xml:space="preserve">1.75 mm, 1 kg.</t>
        </is>
      </c>
      <c r="F32" s="4">
        <v>1</v>
      </c>
      <c r="G32" s="15">
        <v>40.0</v>
      </c>
      <c r="H32" s="3" t="inlineStr">
        <is>
          <t xml:space="preserve">USD</t>
        </is>
      </c>
      <c r="I32" s="5">
        <f>G32</f>
        <v>40.0</v>
      </c>
      <c r="J32" s="5">
        <f>F32*I32</f>
        <v>40.0</v>
      </c>
      <c r="K32" s="6">
        <f>I32*'Read me'!$B$4</f>
        <v>12.4332</v>
      </c>
      <c r="L32" s="6">
        <f>F32*K32</f>
        <v>12.4332</v>
      </c>
      <c r="M32" s="2" t="inlineStr">
        <is>
          <t xml:space="preserve">Buy now</t>
        </is>
      </c>
      <c r="N32" s="2" t="inlineStr">
        <is>
          <t xml:space="preserve">Estimate</t>
        </is>
      </c>
      <c r="O32" s="2" t="inlineStr">
        <is>
          <t xml:space="preserve"/>
        </is>
      </c>
      <c r="Q32" s="3" t="inlineStr">
        <is>
          <t xml:space="preserve">2026-10-09</t>
        </is>
      </c>
      <c r="R32" s="2" t="inlineStr">
        <is>
          <t xml:space="preserve"/>
        </is>
      </c>
      <c r="S32" s="3" t="inlineStr">
        <is>
          <t xml:space="preserve">2026-10-14</t>
        </is>
      </c>
      <c r="T32" s="2" t="inlineStr">
        <is>
          <t xml:space="preserve">Bumpers, liner trials</t>
        </is>
      </c>
      <c r="U32" s="7" t="inlineStr">
        <is>
          <t xml:space="preserve"/>
        </is>
      </c>
    </row>
    <row r="33" ht="30" customHeight="1">
      <c r="A33" s="3" t="inlineStr">
        <is>
          <t xml:space="preserve">A32</t>
        </is>
      </c>
      <c r="B33" s="3" t="inlineStr">
        <is>
          <t xml:space="preserve">A</t>
        </is>
      </c>
      <c r="C33" s="2" t="inlineStr">
        <is>
          <t xml:space="preserve">Fabrication and mock-ups</t>
        </is>
      </c>
      <c r="D33" s="2" t="inlineStr">
        <is>
          <t xml:space="preserve">Hatch-latch candidates</t>
        </is>
      </c>
      <c r="E33" s="2" t="inlineStr">
        <is>
          <t xml:space="preserve">Spring latches, R-clips and cotter pins, toggle latches, screw latches.</t>
        </is>
      </c>
      <c r="F33" s="4">
        <v>1</v>
      </c>
      <c r="G33" s="15">
        <v>25.0</v>
      </c>
      <c r="H33" s="3" t="inlineStr">
        <is>
          <t xml:space="preserve">USD</t>
        </is>
      </c>
      <c r="I33" s="5">
        <f>G33</f>
        <v>25.0</v>
      </c>
      <c r="J33" s="5">
        <f>F33*I33</f>
        <v>25.0</v>
      </c>
      <c r="K33" s="6">
        <f>I33*'Read me'!$B$4</f>
        <v>7.7707</v>
      </c>
      <c r="L33" s="6">
        <f>F33*K33</f>
        <v>7.7707</v>
      </c>
      <c r="M33" s="2" t="inlineStr">
        <is>
          <t xml:space="preserve">Buy now</t>
        </is>
      </c>
      <c r="N33" s="2" t="inlineStr">
        <is>
          <t xml:space="preserve">Estimate</t>
        </is>
      </c>
      <c r="O33" s="2" t="inlineStr">
        <is>
          <t xml:space="preserve"/>
        </is>
      </c>
      <c r="Q33" s="3" t="inlineStr">
        <is>
          <t xml:space="preserve">2026-10-09</t>
        </is>
      </c>
      <c r="R33" s="2" t="inlineStr">
        <is>
          <t xml:space="preserve"/>
        </is>
      </c>
      <c r="S33" s="3" t="inlineStr">
        <is>
          <t xml:space="preserve">2026-10-14</t>
        </is>
      </c>
      <c r="T33" s="2" t="inlineStr">
        <is>
          <t xml:space="preserve">TC-04, SR-04, SR-12</t>
        </is>
      </c>
      <c r="U33" s="7" t="inlineStr">
        <is>
          <t xml:space="preserve">Magnets are not an acceptable latching method (§4.2.1).</t>
        </is>
      </c>
    </row>
    <row r="34" ht="43.5" customHeight="1">
      <c r="A34" s="3" t="inlineStr">
        <is>
          <t xml:space="preserve">A33</t>
        </is>
      </c>
      <c r="B34" s="3" t="inlineStr">
        <is>
          <t xml:space="preserve">A</t>
        </is>
      </c>
      <c r="C34" s="2" t="inlineStr">
        <is>
          <t xml:space="preserve">Fabrication and mock-ups</t>
        </is>
      </c>
      <c r="D34" s="2" t="inlineStr">
        <is>
          <t xml:space="preserve">Mock-up materials</t>
        </is>
      </c>
      <c r="E34" s="2" t="inlineStr">
        <is>
          <t xml:space="preserve">Cardboard sheets, hot-glue sticks, tape, paint markers (TOP / O / E markings, roll stripes).</t>
        </is>
      </c>
      <c r="F34" s="4">
        <v>1</v>
      </c>
      <c r="G34" s="15">
        <v>25.0</v>
      </c>
      <c r="H34" s="3" t="inlineStr">
        <is>
          <t xml:space="preserve">USD</t>
        </is>
      </c>
      <c r="I34" s="5">
        <f>G34</f>
        <v>25.0</v>
      </c>
      <c r="J34" s="5">
        <f>F34*I34</f>
        <v>25.0</v>
      </c>
      <c r="K34" s="6">
        <f>I34*'Read me'!$B$4</f>
        <v>7.7707</v>
      </c>
      <c r="L34" s="6">
        <f>F34*K34</f>
        <v>7.7707</v>
      </c>
      <c r="M34" s="2" t="inlineStr">
        <is>
          <t xml:space="preserve">Buy now</t>
        </is>
      </c>
      <c r="N34" s="2" t="inlineStr">
        <is>
          <t xml:space="preserve">Estimate</t>
        </is>
      </c>
      <c r="O34" s="2" t="inlineStr">
        <is>
          <t xml:space="preserve"/>
        </is>
      </c>
      <c r="Q34" s="3" t="inlineStr">
        <is>
          <t xml:space="preserve">2026-10-09</t>
        </is>
      </c>
      <c r="R34" s="2" t="inlineStr">
        <is>
          <t xml:space="preserve"/>
        </is>
      </c>
      <c r="S34" s="3" t="inlineStr">
        <is>
          <t xml:space="preserve">2026-10-11</t>
        </is>
      </c>
      <c r="T34" s="2" t="inlineStr">
        <is>
          <t xml:space="preserve">TC-01, TC-04</t>
        </is>
      </c>
      <c r="U34" s="7" t="inlineStr">
        <is>
          <t xml:space="preserve"/>
        </is>
      </c>
    </row>
    <row r="35" ht="43.5" customHeight="1">
      <c r="A35" s="3" t="inlineStr">
        <is>
          <t xml:space="preserve">B01</t>
        </is>
      </c>
      <c r="B35" s="3" t="inlineStr">
        <is>
          <t xml:space="preserve">B</t>
        </is>
      </c>
      <c r="C35" s="2" t="inlineStr">
        <is>
          <t xml:space="preserve">Radio (ExpressLRS)</t>
        </is>
      </c>
      <c r="D35" s="2" t="inlineStr">
        <is>
          <t xml:space="preserve">ELRS transmitter</t>
        </is>
      </c>
      <c r="E35" s="2" t="inlineStr">
        <is>
          <t xml:space="preserve">RadioMaster Boxer, internal ELRS 2.4 GHz, FCC version, EdgeTX. Skip if the pilot already owns a radio with internal ELRS 2.4 GHz.</t>
        </is>
      </c>
      <c r="F35" s="4">
        <v>1</v>
      </c>
      <c r="G35" s="15">
        <v>153.99</v>
      </c>
      <c r="H35" s="3" t="inlineStr">
        <is>
          <t xml:space="preserve">USD</t>
        </is>
      </c>
      <c r="I35" s="5">
        <f>G35</f>
        <v>153.99</v>
      </c>
      <c r="J35" s="5">
        <f>F35*I35</f>
        <v>153.99</v>
      </c>
      <c r="K35" s="6">
        <f>I35*'Read me'!$B$4</f>
        <v>47.8646</v>
      </c>
      <c r="L35" s="6">
        <f>F35*K35</f>
        <v>47.8646</v>
      </c>
      <c r="M35" s="2" t="inlineStr">
        <is>
          <t xml:space="preserve">Buy now</t>
        </is>
      </c>
      <c r="N35" s="2" t="inlineStr">
        <is>
          <t xml:space="preserve">Listing</t>
        </is>
      </c>
      <c r="O35" s="2" t="inlineStr">
        <is>
          <t xml:space="preserve">RadioMaster</t>
        </is>
      </c>
      <c r="P35" s="8" t="inlineStr">
        <is>
          <t xml:space="preserve">https://radiomasterrc.com/products/boxer-radio-controller-m2</t>
        </is>
      </c>
      <c r="Q35" s="3" t="inlineStr">
        <is>
          <t xml:space="preserve">2026-10-09</t>
        </is>
      </c>
      <c r="R35" s="2" t="inlineStr">
        <is>
          <t xml:space="preserve">Vendor page</t>
        </is>
      </c>
      <c r="S35" s="3" t="inlineStr">
        <is>
          <t xml:space="preserve">2026-11-01</t>
        </is>
      </c>
      <c r="T35" s="2" t="inlineStr">
        <is>
          <t xml:space="preserve">§3.2.1, §4.2.5</t>
        </is>
      </c>
      <c r="U35" s="7" t="inlineStr">
        <is>
          <t xml:space="preserve">Transmitter cells are not included (B02).</t>
        </is>
      </c>
    </row>
    <row r="36" ht="30" customHeight="1">
      <c r="A36" s="3" t="inlineStr">
        <is>
          <t xml:space="preserve">B02</t>
        </is>
      </c>
      <c r="B36" s="3" t="inlineStr">
        <is>
          <t xml:space="preserve">B</t>
        </is>
      </c>
      <c r="C36" s="2" t="inlineStr">
        <is>
          <t xml:space="preserve">Radio (ExpressLRS)</t>
        </is>
      </c>
      <c r="D36" s="2" t="inlineStr">
        <is>
          <t xml:space="preserve">Transmitter cells</t>
        </is>
      </c>
      <c r="E36" s="2" t="inlineStr">
        <is>
          <t xml:space="preserve">2 × 18650 Li-ion cells and a charger, for B01.</t>
        </is>
      </c>
      <c r="F36" s="4">
        <v>1</v>
      </c>
      <c r="G36" s="15">
        <v>20.0</v>
      </c>
      <c r="H36" s="3" t="inlineStr">
        <is>
          <t xml:space="preserve">USD</t>
        </is>
      </c>
      <c r="I36" s="5">
        <f>G36</f>
        <v>20.0</v>
      </c>
      <c r="J36" s="5">
        <f>F36*I36</f>
        <v>20.0</v>
      </c>
      <c r="K36" s="6">
        <f>I36*'Read me'!$B$4</f>
        <v>6.2166</v>
      </c>
      <c r="L36" s="6">
        <f>F36*K36</f>
        <v>6.2166</v>
      </c>
      <c r="M36" s="2" t="inlineStr">
        <is>
          <t xml:space="preserve">Buy now</t>
        </is>
      </c>
      <c r="N36" s="2" t="inlineStr">
        <is>
          <t xml:space="preserve">Estimate</t>
        </is>
      </c>
      <c r="O36" s="2" t="inlineStr">
        <is>
          <t xml:space="preserve"/>
        </is>
      </c>
      <c r="Q36" s="3" t="inlineStr">
        <is>
          <t xml:space="preserve">2026-10-09</t>
        </is>
      </c>
      <c r="R36" s="2" t="inlineStr">
        <is>
          <t xml:space="preserve"/>
        </is>
      </c>
      <c r="S36" s="3" t="inlineStr">
        <is>
          <t xml:space="preserve">2026-11-01</t>
        </is>
      </c>
      <c r="T36" s="2" t="inlineStr">
        <is>
          <t xml:space="preserve">B01</t>
        </is>
      </c>
      <c r="U36" s="7" t="inlineStr">
        <is>
          <t xml:space="preserve"/>
        </is>
      </c>
    </row>
    <row r="37" ht="57" customHeight="1">
      <c r="A37" s="3" t="inlineStr">
        <is>
          <t xml:space="preserve">B03</t>
        </is>
      </c>
      <c r="B37" s="3" t="inlineStr">
        <is>
          <t xml:space="preserve">B</t>
        </is>
      </c>
      <c r="C37" s="2" t="inlineStr">
        <is>
          <t xml:space="preserve">Radio (ExpressLRS)</t>
        </is>
      </c>
      <c r="D37" s="2" t="inlineStr">
        <is>
          <t xml:space="preserve">ELRS PWM receiver, 8 ch</t>
        </is>
      </c>
      <c r="E37" s="2" t="inlineStr">
        <is>
          <t xml:space="preserve">RadioMaster ER8: 8 PWM outputs, 4.5–8.4 V, ELRS 3.3.0, FCC firmware. PWM output only: no CRSF-only receivers, which need a flight controller.</t>
        </is>
      </c>
      <c r="F37" s="4">
        <v>3</v>
      </c>
      <c r="G37" s="15">
        <v>34.99</v>
      </c>
      <c r="H37" s="3" t="inlineStr">
        <is>
          <t xml:space="preserve">USD</t>
        </is>
      </c>
      <c r="I37" s="5">
        <f>G37</f>
        <v>34.99</v>
      </c>
      <c r="J37" s="5">
        <f>F37*I37</f>
        <v>104.97</v>
      </c>
      <c r="K37" s="6">
        <f>I37*'Read me'!$B$4</f>
        <v>10.8759</v>
      </c>
      <c r="L37" s="6">
        <f>F37*K37</f>
        <v>32.6277</v>
      </c>
      <c r="M37" s="2" t="inlineStr">
        <is>
          <t xml:space="preserve">Buy now</t>
        </is>
      </c>
      <c r="N37" s="2" t="inlineStr">
        <is>
          <t xml:space="preserve">Listing</t>
        </is>
      </c>
      <c r="O37" s="2" t="inlineStr">
        <is>
          <t xml:space="preserve">RadioMaster</t>
        </is>
      </c>
      <c r="P37" s="8" t="inlineStr">
        <is>
          <t xml:space="preserve">https://radiomasterrc.com/products/er8-2-4ghz-elrs-pwm-receiver</t>
        </is>
      </c>
      <c r="Q37" s="3" t="inlineStr">
        <is>
          <t xml:space="preserve">2026-10-09</t>
        </is>
      </c>
      <c r="R37" s="2" t="inlineStr">
        <is>
          <t xml:space="preserve">Vendor page</t>
        </is>
      </c>
      <c r="S37" s="3" t="inlineStr">
        <is>
          <t xml:space="preserve">2026-11-01</t>
        </is>
      </c>
      <c r="T37" s="2" t="inlineStr">
        <is>
          <t xml:space="preserve">§3.2.1, §4.2.1, §4.2.5</t>
        </is>
      </c>
      <c r="U37" s="7" t="inlineStr">
        <is>
          <t xml:space="preserve">One per airframe plus a spare. Fail-safe positions must be set in the receiver WebUI (default is centred).</t>
        </is>
      </c>
    </row>
    <row r="38" ht="43.5" customHeight="1">
      <c r="A38" s="3" t="inlineStr">
        <is>
          <t xml:space="preserve">B04</t>
        </is>
      </c>
      <c r="B38" s="3" t="inlineStr">
        <is>
          <t xml:space="preserve">B</t>
        </is>
      </c>
      <c r="C38" s="2" t="inlineStr">
        <is>
          <t xml:space="preserve">Radio (ExpressLRS)</t>
        </is>
      </c>
      <c r="D38" s="2" t="inlineStr">
        <is>
          <t xml:space="preserve">ELRS PWM receiver, 6 ch</t>
        </is>
      </c>
      <c r="E38" s="2" t="inlineStr">
        <is>
          <t xml:space="preserve">RadioMaster ER6: bench receiver for sensor and reel development, or the observer's payload link (§3.1).</t>
        </is>
      </c>
      <c r="F38" s="4">
        <v>1</v>
      </c>
      <c r="G38" s="15">
        <v>24.99</v>
      </c>
      <c r="H38" s="3" t="inlineStr">
        <is>
          <t xml:space="preserve">USD</t>
        </is>
      </c>
      <c r="I38" s="5">
        <f>G38</f>
        <v>24.99</v>
      </c>
      <c r="J38" s="5">
        <f>F38*I38</f>
        <v>24.99</v>
      </c>
      <c r="K38" s="6">
        <f>I38*'Read me'!$B$4</f>
        <v>7.7676</v>
      </c>
      <c r="L38" s="6">
        <f>F38*K38</f>
        <v>7.7676</v>
      </c>
      <c r="M38" s="2" t="inlineStr">
        <is>
          <t xml:space="preserve">Buy now</t>
        </is>
      </c>
      <c r="N38" s="2" t="inlineStr">
        <is>
          <t xml:space="preserve">Listing</t>
        </is>
      </c>
      <c r="O38" s="2" t="inlineStr">
        <is>
          <t xml:space="preserve">RadioMaster</t>
        </is>
      </c>
      <c r="P38" s="8" t="inlineStr">
        <is>
          <t xml:space="preserve">https://radiomasterrc.com/products/er6-2-4ghz-elrs-pwm-receiver</t>
        </is>
      </c>
      <c r="Q38" s="3" t="inlineStr">
        <is>
          <t xml:space="preserve">2026-10-09</t>
        </is>
      </c>
      <c r="R38" s="2" t="inlineStr">
        <is>
          <t xml:space="preserve">Vendor page</t>
        </is>
      </c>
      <c r="S38" s="3" t="inlineStr">
        <is>
          <t xml:space="preserve">2026-11-01</t>
        </is>
      </c>
      <c r="T38" s="2" t="inlineStr">
        <is>
          <t xml:space="preserve">EE lane, §3.1</t>
        </is>
      </c>
      <c r="U38" s="7" t="inlineStr">
        <is>
          <t xml:space="preserve"/>
        </is>
      </c>
    </row>
    <row r="39" ht="43.5" customHeight="1">
      <c r="A39" s="3" t="inlineStr">
        <is>
          <t xml:space="preserve">B05</t>
        </is>
      </c>
      <c r="B39" s="3" t="inlineStr">
        <is>
          <t xml:space="preserve">B</t>
        </is>
      </c>
      <c r="C39" s="2" t="inlineStr">
        <is>
          <t xml:space="preserve">Radio (ExpressLRS)</t>
        </is>
      </c>
      <c r="D39" s="2" t="inlineStr">
        <is>
          <t xml:space="preserve">Receiver and servo battery</t>
        </is>
      </c>
      <c r="E39" s="2" t="inlineStr">
        <is>
          <t xml:space="preserve">2S LiFe 6.6 V (7.2 V full), about 1450 mAh, COTS with label.</t>
        </is>
      </c>
      <c r="F39" s="4">
        <v>3</v>
      </c>
      <c r="G39" s="15">
        <v>34.99</v>
      </c>
      <c r="H39" s="3" t="inlineStr">
        <is>
          <t xml:space="preserve">USD</t>
        </is>
      </c>
      <c r="I39" s="5">
        <f>G39</f>
        <v>34.99</v>
      </c>
      <c r="J39" s="5">
        <f>F39*I39</f>
        <v>104.97</v>
      </c>
      <c r="K39" s="6">
        <f>I39*'Read me'!$B$4</f>
        <v>10.8759</v>
      </c>
      <c r="L39" s="6">
        <f>F39*K39</f>
        <v>32.6277</v>
      </c>
      <c r="M39" s="2" t="inlineStr">
        <is>
          <t xml:space="preserve">Buy now</t>
        </is>
      </c>
      <c r="N39" s="2" t="inlineStr">
        <is>
          <t xml:space="preserve">Listing</t>
        </is>
      </c>
      <c r="O39" s="2" t="inlineStr">
        <is>
          <t xml:space="preserve">Spektrum SPMB1450LFRX (Gator RC; out of stock on 9 Oct)</t>
        </is>
      </c>
      <c r="P39" s="8" t="inlineStr">
        <is>
          <t xml:space="preserve">https://www.gator-rc.com/products/spektrum-1450-receiver-battery</t>
        </is>
      </c>
      <c r="Q39" s="3" t="inlineStr">
        <is>
          <t xml:space="preserve">2026-10-09</t>
        </is>
      </c>
      <c r="R39" s="2" t="inlineStr">
        <is>
          <t xml:space="preserve">Vendor page</t>
        </is>
      </c>
      <c r="S39" s="3" t="inlineStr">
        <is>
          <t xml:space="preserve">2026-11-01</t>
        </is>
      </c>
      <c r="T39" s="2" t="inlineStr">
        <is>
          <t xml:space="preserve">§3.2.3</t>
        </is>
      </c>
      <c r="U39" s="7" t="inlineStr">
        <is>
          <t xml:space="preserve">A separate receiver battery is mandatory. 7.2 V full charge needs HV servos (B19).</t>
        </is>
      </c>
    </row>
    <row r="40" ht="43.5" customHeight="1">
      <c r="A40" s="3" t="inlineStr">
        <is>
          <t xml:space="preserve">B06</t>
        </is>
      </c>
      <c r="B40" s="3" t="inlineStr">
        <is>
          <t xml:space="preserve">B</t>
        </is>
      </c>
      <c r="C40" s="2" t="inlineStr">
        <is>
          <t xml:space="preserve">Radio (ExpressLRS)</t>
        </is>
      </c>
      <c r="D40" s="2" t="inlineStr">
        <is>
          <t xml:space="preserve">External receiver switch</t>
        </is>
      </c>
      <c r="E40" s="2" t="inlineStr">
        <is>
          <t xml:space="preserve">Heavy-duty switch harness, mounted outside the airplane. An arming plug does not count as this switch.</t>
        </is>
      </c>
      <c r="F40" s="4">
        <v>3</v>
      </c>
      <c r="G40" s="15">
        <v>15.0</v>
      </c>
      <c r="H40" s="3" t="inlineStr">
        <is>
          <t xml:space="preserve">USD</t>
        </is>
      </c>
      <c r="I40" s="5">
        <f>G40</f>
        <v>15.0</v>
      </c>
      <c r="J40" s="5">
        <f>F40*I40</f>
        <v>45.0</v>
      </c>
      <c r="K40" s="6">
        <f>I40*'Read me'!$B$4</f>
        <v>4.6624</v>
      </c>
      <c r="L40" s="6">
        <f>F40*K40</f>
        <v>13.9873</v>
      </c>
      <c r="M40" s="2" t="inlineStr">
        <is>
          <t xml:space="preserve">Buy now</t>
        </is>
      </c>
      <c r="N40" s="2" t="inlineStr">
        <is>
          <t xml:space="preserve">Estimate</t>
        </is>
      </c>
      <c r="O40" s="2" t="inlineStr">
        <is>
          <t xml:space="preserve"/>
        </is>
      </c>
      <c r="Q40" s="3" t="inlineStr">
        <is>
          <t xml:space="preserve">2026-10-09</t>
        </is>
      </c>
      <c r="R40" s="2" t="inlineStr">
        <is>
          <t xml:space="preserve"/>
        </is>
      </c>
      <c r="S40" s="3" t="inlineStr">
        <is>
          <t xml:space="preserve">2026-11-01</t>
        </is>
      </c>
      <c r="T40" s="2" t="inlineStr">
        <is>
          <t xml:space="preserve">§3.2.1</t>
        </is>
      </c>
      <c r="U40" s="7" t="inlineStr">
        <is>
          <t xml:space="preserve"/>
        </is>
      </c>
    </row>
    <row r="41" ht="43.5" customHeight="1">
      <c r="A41" s="3" t="inlineStr">
        <is>
          <t xml:space="preserve">B07</t>
        </is>
      </c>
      <c r="B41" s="3" t="inlineStr">
        <is>
          <t xml:space="preserve">B</t>
        </is>
      </c>
      <c r="C41" s="2" t="inlineStr">
        <is>
          <t xml:space="preserve">Propulsion and power</t>
        </is>
      </c>
      <c r="D41" s="2" t="inlineStr">
        <is>
          <t xml:space="preserve">Motor candidates</t>
        </is>
      </c>
      <c r="E41" s="2" t="inlineStr">
        <is>
          <t xml:space="preserve">Brushless outrunner; class set by Scripts 3–4 at the 13 Oct gate. Reference: T-Motor AT4130 long shaft (230/300/450 KV, 6–12S).</t>
        </is>
      </c>
      <c r="F41" s="4">
        <v>3</v>
      </c>
      <c r="G41" s="15">
        <v>119.9</v>
      </c>
      <c r="H41" s="3" t="inlineStr">
        <is>
          <t xml:space="preserve">USD</t>
        </is>
      </c>
      <c r="I41" s="5">
        <f>G41</f>
        <v>119.9</v>
      </c>
      <c r="J41" s="5">
        <f>F41*I41</f>
        <v>359.7</v>
      </c>
      <c r="K41" s="6">
        <f>I41*'Read me'!$B$4</f>
        <v>37.2684</v>
      </c>
      <c r="L41" s="6">
        <f>F41*K41</f>
        <v>111.8052</v>
      </c>
      <c r="M41" s="2" t="inlineStr">
        <is>
          <t xml:space="preserve">Budget hold</t>
        </is>
      </c>
      <c r="N41" s="2" t="inlineStr">
        <is>
          <t xml:space="preserve">Listing</t>
        </is>
      </c>
      <c r="O41" s="2" t="inlineStr">
        <is>
          <t xml:space="preserve">T-Motor</t>
        </is>
      </c>
      <c r="P41" s="8" t="inlineStr">
        <is>
          <t xml:space="preserve">https://shop.tmotor.com/products/at4130-long-shaft</t>
        </is>
      </c>
      <c r="Q41" s="3" t="inlineStr">
        <is>
          <t xml:space="preserve">2026-10-09</t>
        </is>
      </c>
      <c r="R41" s="2" t="inlineStr">
        <is>
          <t xml:space="preserve">Vendor page</t>
        </is>
      </c>
      <c r="S41" s="3" t="inlineStr">
        <is>
          <t xml:space="preserve">2026-11-30</t>
        </is>
      </c>
      <c r="T41" s="2" t="inlineStr">
        <is>
          <t xml:space="preserve">§3.2.1, Scripts 3–4</t>
        </is>
      </c>
      <c r="U41" s="7" t="inlineStr">
        <is>
          <t xml:space="preserve">Unmodified commercial motor (§3.2.1).</t>
        </is>
      </c>
    </row>
    <row r="42" ht="43.5" customHeight="1">
      <c r="A42" s="3" t="inlineStr">
        <is>
          <t xml:space="preserve">B08</t>
        </is>
      </c>
      <c r="B42" s="3" t="inlineStr">
        <is>
          <t xml:space="preserve">B</t>
        </is>
      </c>
      <c r="C42" s="2" t="inlineStr">
        <is>
          <t xml:space="preserve">Propulsion and power</t>
        </is>
      </c>
      <c r="D42" s="2" t="inlineStr">
        <is>
          <t xml:space="preserve">ESC candidates</t>
        </is>
      </c>
      <c r="E42" s="2" t="inlineStr">
        <is>
          <t xml:space="preserve">80–100 A, matched to B07; BEC disabled. Reference: Castle Phoenix Edge Lite 100 (2–8S, 100 A).</t>
        </is>
      </c>
      <c r="F42" s="4">
        <v>3</v>
      </c>
      <c r="G42" s="15">
        <v>149.95</v>
      </c>
      <c r="H42" s="3" t="inlineStr">
        <is>
          <t xml:space="preserve">USD</t>
        </is>
      </c>
      <c r="I42" s="5">
        <f>G42</f>
        <v>149.95</v>
      </c>
      <c r="J42" s="5">
        <f>F42*I42</f>
        <v>449.85</v>
      </c>
      <c r="K42" s="6">
        <f>I42*'Read me'!$B$4</f>
        <v>46.6088</v>
      </c>
      <c r="L42" s="6">
        <f>F42*K42</f>
        <v>139.8264</v>
      </c>
      <c r="M42" s="2" t="inlineStr">
        <is>
          <t xml:space="preserve">Budget hold</t>
        </is>
      </c>
      <c r="N42" s="2" t="inlineStr">
        <is>
          <t xml:space="preserve">Listing</t>
        </is>
      </c>
      <c r="O42" s="2" t="inlineStr">
        <is>
          <t xml:space="preserve">Gator RC</t>
        </is>
      </c>
      <c r="P42" s="8" t="inlineStr">
        <is>
          <t xml:space="preserve">https://www.gator-rc.com/products/castle-creations-phoenix-edge-lite-100-esc-with-built-in-5-amp-bec</t>
        </is>
      </c>
      <c r="Q42" s="3" t="inlineStr">
        <is>
          <t xml:space="preserve">2026-10-09</t>
        </is>
      </c>
      <c r="R42" s="2" t="inlineStr">
        <is>
          <t xml:space="preserve">Vendor page</t>
        </is>
      </c>
      <c r="S42" s="3" t="inlineStr">
        <is>
          <t xml:space="preserve">2026-11-30</t>
        </is>
      </c>
      <c r="T42" s="2" t="inlineStr">
        <is>
          <t xml:space="preserve">§3.2.3, FAQ A.3</t>
        </is>
      </c>
      <c r="U42" s="7" t="inlineStr">
        <is>
          <t xml:space="preserve"/>
        </is>
      </c>
    </row>
    <row r="43" ht="30" customHeight="1">
      <c r="A43" s="3" t="inlineStr">
        <is>
          <t xml:space="preserve">B09</t>
        </is>
      </c>
      <c r="B43" s="3" t="inlineStr">
        <is>
          <t xml:space="preserve">B</t>
        </is>
      </c>
      <c r="C43" s="2" t="inlineStr">
        <is>
          <t xml:space="preserve">Propulsion and power</t>
        </is>
      </c>
      <c r="D43" s="2" t="inlineStr">
        <is>
          <t xml:space="preserve">Propellers and spares</t>
        </is>
      </c>
      <c r="E43" s="2" t="inlineStr">
        <is>
          <t xml:space="preserve">APC Electric (E) series; diameter and pitch from Script 3. Reference: APC 15×10E.</t>
        </is>
      </c>
      <c r="F43" s="4">
        <v>16</v>
      </c>
      <c r="G43" s="15">
        <v>7.65</v>
      </c>
      <c r="H43" s="3" t="inlineStr">
        <is>
          <t xml:space="preserve">USD</t>
        </is>
      </c>
      <c r="I43" s="5">
        <f>G43</f>
        <v>7.65</v>
      </c>
      <c r="J43" s="5">
        <f>F43*I43</f>
        <v>122.4</v>
      </c>
      <c r="K43" s="6">
        <f>I43*'Read me'!$B$4</f>
        <v>2.3778</v>
      </c>
      <c r="L43" s="6">
        <f>F43*K43</f>
        <v>38.0455</v>
      </c>
      <c r="M43" s="2" t="inlineStr">
        <is>
          <t xml:space="preserve">Budget hold</t>
        </is>
      </c>
      <c r="N43" s="2" t="inlineStr">
        <is>
          <t xml:space="preserve">Listing</t>
        </is>
      </c>
      <c r="O43" s="2" t="inlineStr">
        <is>
          <t xml:space="preserve">Gator RC</t>
        </is>
      </c>
      <c r="P43" s="8" t="inlineStr">
        <is>
          <t xml:space="preserve">https://www.gator-rc.com/products/15x10e-propeller-electric-apc</t>
        </is>
      </c>
      <c r="Q43" s="3" t="inlineStr">
        <is>
          <t xml:space="preserve">2026-10-09</t>
        </is>
      </c>
      <c r="R43" s="2" t="inlineStr">
        <is>
          <t xml:space="preserve">Search result</t>
        </is>
      </c>
      <c r="S43" s="3" t="inlineStr">
        <is>
          <t xml:space="preserve">2026-11-30</t>
        </is>
      </c>
      <c r="T43" s="2" t="inlineStr">
        <is>
          <t xml:space="preserve">§3.2.1</t>
        </is>
      </c>
      <c r="U43" s="7" t="inlineStr">
        <is>
          <t xml:space="preserve">Commercial propellers only; tips may be clipped (§3.2.1).</t>
        </is>
      </c>
    </row>
    <row r="44" ht="70.5" customHeight="1">
      <c r="A44" s="3" t="inlineStr">
        <is>
          <t xml:space="preserve">B10</t>
        </is>
      </c>
      <c r="B44" s="3" t="inlineStr">
        <is>
          <t xml:space="preserve">B</t>
        </is>
      </c>
      <c r="C44" s="2" t="inlineStr">
        <is>
          <t xml:space="preserve">Propulsion and power</t>
        </is>
      </c>
      <c r="D44" s="2" t="inlineStr">
        <is>
          <t xml:space="preserve">Propulsion LiPo packs</t>
        </is>
      </c>
      <c r="E44" s="2" t="inlineStr">
        <is>
          <t xml:space="preserve">≤ 100 Wh per pack and in total on the airplane. Reference: Tattu R-Line 6S 4500 mAh 95C, 99.9 Wh, XT90-S, 10 AWG leads.</t>
        </is>
      </c>
      <c r="F44" s="4">
        <v>4</v>
      </c>
      <c r="G44" s="15">
        <v>147.0</v>
      </c>
      <c r="H44" s="3" t="inlineStr">
        <is>
          <t xml:space="preserve">USD</t>
        </is>
      </c>
      <c r="I44" s="5">
        <f>G44</f>
        <v>147.0</v>
      </c>
      <c r="J44" s="5">
        <f>F44*I44</f>
        <v>588.0</v>
      </c>
      <c r="K44" s="6">
        <f>I44*'Read me'!$B$4</f>
        <v>45.6919</v>
      </c>
      <c r="L44" s="6">
        <f>F44*K44</f>
        <v>182.7675</v>
      </c>
      <c r="M44" s="2" t="inlineStr">
        <is>
          <t xml:space="preserve">Budget hold</t>
        </is>
      </c>
      <c r="N44" s="2" t="inlineStr">
        <is>
          <t xml:space="preserve">Listing</t>
        </is>
      </c>
      <c r="O44" s="2" t="inlineStr">
        <is>
          <t xml:space="preserve">NextFPV (regular price; sale USD 128; backordered)</t>
        </is>
      </c>
      <c r="P44" s="8" t="inlineStr">
        <is>
          <t xml:space="preserve">https://www.nextfpv.com/products/tattu-r-line-4500mah-95c-6s1p-lipo-battery-pack-with-xt90s-plug-for-uav</t>
        </is>
      </c>
      <c r="Q44" s="3" t="inlineStr">
        <is>
          <t xml:space="preserve">2026-10-09</t>
        </is>
      </c>
      <c r="R44" s="2" t="inlineStr">
        <is>
          <t xml:space="preserve">Vendor page</t>
        </is>
      </c>
      <c r="S44" s="3" t="inlineStr">
        <is>
          <t xml:space="preserve">2026-11-30</t>
        </is>
      </c>
      <c r="T44" s="2" t="inlineStr">
        <is>
          <t xml:space="preserve">§3.2.3, §4.2.3</t>
        </is>
      </c>
      <c r="U44" s="7" t="inlineStr">
        <is>
          <t xml:space="preserve">Label must show chemistry, capacity, voltage and C-rating. Keep the original packaging (§4.2.3). Lithium packs ship as dangerous goods: buy locally if possible.</t>
        </is>
      </c>
    </row>
    <row r="45" ht="57" customHeight="1">
      <c r="A45" s="3" t="inlineStr">
        <is>
          <t xml:space="preserve">B11</t>
        </is>
      </c>
      <c r="B45" s="3" t="inlineStr">
        <is>
          <t xml:space="preserve">B</t>
        </is>
      </c>
      <c r="C45" s="2" t="inlineStr">
        <is>
          <t xml:space="preserve">Propulsion and power</t>
        </is>
      </c>
      <c r="D45" s="2" t="inlineStr">
        <is>
          <t xml:space="preserve">LiPo charging sacks</t>
        </is>
      </c>
      <c r="E45" s="2" t="inlineStr">
        <is>
          <t xml:space="preserve">Commercial, unaltered, manufacturer-labelled; sized for the packs. Every battery (propulsion, receiver, sensor) is stored and charged in one.</t>
        </is>
      </c>
      <c r="F45" s="4">
        <v>6</v>
      </c>
      <c r="G45" s="15">
        <v>11.98</v>
      </c>
      <c r="H45" s="3" t="inlineStr">
        <is>
          <t xml:space="preserve">USD</t>
        </is>
      </c>
      <c r="I45" s="5">
        <f>G45</f>
        <v>11.98</v>
      </c>
      <c r="J45" s="5">
        <f>F45*I45</f>
        <v>71.88</v>
      </c>
      <c r="K45" s="6">
        <f>I45*'Read me'!$B$4</f>
        <v>3.7237</v>
      </c>
      <c r="L45" s="6">
        <f>F45*K45</f>
        <v>22.3424</v>
      </c>
      <c r="M45" s="2" t="inlineStr">
        <is>
          <t xml:space="preserve">Buy now</t>
        </is>
      </c>
      <c r="N45" s="2" t="inlineStr">
        <is>
          <t xml:space="preserve">Listing</t>
        </is>
      </c>
      <c r="O45" s="2" t="inlineStr">
        <is>
          <t xml:space="preserve">Racers Edge (HobbyEtc)</t>
        </is>
      </c>
      <c r="P45" s="8" t="inlineStr">
        <is>
          <t xml:space="preserve">https://store.hobbyetc.com/parts/view/132874</t>
        </is>
      </c>
      <c r="Q45" s="3" t="inlineStr">
        <is>
          <t xml:space="preserve">2026-10-09</t>
        </is>
      </c>
      <c r="R45" s="2" t="inlineStr">
        <is>
          <t xml:space="preserve">Search result</t>
        </is>
      </c>
      <c r="S45" s="3" t="inlineStr">
        <is>
          <t xml:space="preserve">2026-11-01</t>
        </is>
      </c>
      <c r="T45" s="2" t="inlineStr">
        <is>
          <t xml:space="preserve">§3.2.3</t>
        </is>
      </c>
      <c r="U45" s="7" t="inlineStr">
        <is>
          <t xml:space="preserve"/>
        </is>
      </c>
    </row>
    <row r="46" ht="43.5" customHeight="1">
      <c r="A46" s="3" t="inlineStr">
        <is>
          <t xml:space="preserve">B12</t>
        </is>
      </c>
      <c r="B46" s="3" t="inlineStr">
        <is>
          <t xml:space="preserve">B</t>
        </is>
      </c>
      <c r="C46" s="2" t="inlineStr">
        <is>
          <t xml:space="preserve">Propulsion and power</t>
        </is>
      </c>
      <c r="D46" s="2" t="inlineStr">
        <is>
          <t xml:space="preserve">Balance charger</t>
        </is>
      </c>
      <c r="E46" s="2" t="inlineStr">
        <is>
          <t xml:space="preserve">AC/DC, 1–6S LiPo and LiFe. Reference: ToolkitRC M7AC (retailers disagree on its power rating; check). Skip if the lab has one.</t>
        </is>
      </c>
      <c r="F46" s="4">
        <v>1</v>
      </c>
      <c r="G46" s="15">
        <v>96.99</v>
      </c>
      <c r="H46" s="3" t="inlineStr">
        <is>
          <t xml:space="preserve">USD</t>
        </is>
      </c>
      <c r="I46" s="5">
        <f>G46</f>
        <v>96.99</v>
      </c>
      <c r="J46" s="5">
        <f>F46*I46</f>
        <v>96.99</v>
      </c>
      <c r="K46" s="6">
        <f>I46*'Read me'!$B$4</f>
        <v>30.1473</v>
      </c>
      <c r="L46" s="6">
        <f>F46*K46</f>
        <v>30.1473</v>
      </c>
      <c r="M46" s="2" t="inlineStr">
        <is>
          <t xml:space="preserve">Buy now</t>
        </is>
      </c>
      <c r="N46" s="2" t="inlineStr">
        <is>
          <t xml:space="preserve">Listing</t>
        </is>
      </c>
      <c r="O46" s="2" t="inlineStr">
        <is>
          <t xml:space="preserve">Pyrodrone</t>
        </is>
      </c>
      <c r="P46" s="8" t="inlineStr">
        <is>
          <t xml:space="preserve">https://pyrodrone.com/collections/chargers-1/brand_toolkitrc</t>
        </is>
      </c>
      <c r="Q46" s="3" t="inlineStr">
        <is>
          <t xml:space="preserve">2026-10-09</t>
        </is>
      </c>
      <c r="R46" s="2" t="inlineStr">
        <is>
          <t xml:space="preserve">Search result</t>
        </is>
      </c>
      <c r="S46" s="3" t="inlineStr">
        <is>
          <t xml:space="preserve">2026-11-01</t>
        </is>
      </c>
      <c r="T46" s="2" t="inlineStr">
        <is>
          <t xml:space="preserve">Battery care</t>
        </is>
      </c>
      <c r="U46" s="7" t="inlineStr">
        <is>
          <t xml:space="preserve"/>
        </is>
      </c>
    </row>
    <row r="47" ht="43.5" customHeight="1">
      <c r="A47" s="3" t="inlineStr">
        <is>
          <t xml:space="preserve">B13</t>
        </is>
      </c>
      <c r="B47" s="3" t="inlineStr">
        <is>
          <t xml:space="preserve">B</t>
        </is>
      </c>
      <c r="C47" s="2" t="inlineStr">
        <is>
          <t xml:space="preserve">Propulsion and power</t>
        </is>
      </c>
      <c r="D47" s="2" t="inlineStr">
        <is>
          <t xml:space="preserve">MAXI blade fuses</t>
        </is>
      </c>
      <c r="E47" s="2" t="inlineStr">
        <is>
          <t xml:space="preserve">Assortment: 40, 50, 60 and 80 A (Littelfuse MAXI 299 series) and 100 A (Littelfuse 0MAX100, purple).</t>
        </is>
      </c>
      <c r="F47" s="4">
        <v>15</v>
      </c>
      <c r="G47" s="15">
        <v>3.0</v>
      </c>
      <c r="H47" s="3" t="inlineStr">
        <is>
          <t xml:space="preserve">USD</t>
        </is>
      </c>
      <c r="I47" s="5">
        <f>G47</f>
        <v>3.0</v>
      </c>
      <c r="J47" s="5">
        <f>F47*I47</f>
        <v>45.0</v>
      </c>
      <c r="K47" s="6">
        <f>I47*'Read me'!$B$4</f>
        <v>0.9325</v>
      </c>
      <c r="L47" s="6">
        <f>F47*K47</f>
        <v>13.9873</v>
      </c>
      <c r="M47" s="2" t="inlineStr">
        <is>
          <t xml:space="preserve">Buy now</t>
        </is>
      </c>
      <c r="N47" s="2" t="inlineStr">
        <is>
          <t xml:space="preserve">Estimate</t>
        </is>
      </c>
      <c r="O47" s="2" t="inlineStr">
        <is>
          <t xml:space="preserve"/>
        </is>
      </c>
      <c r="Q47" s="3" t="inlineStr">
        <is>
          <t xml:space="preserve">2026-10-09</t>
        </is>
      </c>
      <c r="R47" s="2" t="inlineStr">
        <is>
          <t xml:space="preserve"/>
        </is>
      </c>
      <c r="S47" s="3" t="inlineStr">
        <is>
          <t xml:space="preserve">2026-11-01</t>
        </is>
      </c>
      <c r="T47" s="2" t="inlineStr">
        <is>
          <t xml:space="preserve">§3.2.3.1, §3.2.3.2</t>
        </is>
      </c>
      <c r="U47" s="7" t="inlineStr">
        <is>
          <t xml:space="preserve">Fuse rating ≤ the pack's maximum continuous current, capped at 100 A.</t>
        </is>
      </c>
    </row>
    <row r="48" ht="57" customHeight="1">
      <c r="A48" s="3" t="inlineStr">
        <is>
          <t xml:space="preserve">B14</t>
        </is>
      </c>
      <c r="B48" s="3" t="inlineStr">
        <is>
          <t xml:space="preserve">B</t>
        </is>
      </c>
      <c r="C48" s="2" t="inlineStr">
        <is>
          <t xml:space="preserve">Propulsion and power</t>
        </is>
      </c>
      <c r="D48" s="2" t="inlineStr">
        <is>
          <t xml:space="preserve">Inline MAXI fuse holders</t>
        </is>
      </c>
      <c r="E48" s="2" t="inlineStr">
        <is>
          <t xml:space="preserve">Rated at least as high as the fuse; for 10–12 AWG. Reference: GEP waterproof MAXI kit (up to 100 A, 12–10 AWG terminals, fuse not included).</t>
        </is>
      </c>
      <c r="F48" s="4">
        <v>6</v>
      </c>
      <c r="G48" s="15">
        <v>16.95</v>
      </c>
      <c r="H48" s="3" t="inlineStr">
        <is>
          <t xml:space="preserve">USD</t>
        </is>
      </c>
      <c r="I48" s="5">
        <f>G48</f>
        <v>16.95</v>
      </c>
      <c r="J48" s="5">
        <f>F48*I48</f>
        <v>101.7</v>
      </c>
      <c r="K48" s="6">
        <f>I48*'Read me'!$B$4</f>
        <v>5.2686</v>
      </c>
      <c r="L48" s="6">
        <f>F48*K48</f>
        <v>31.6113</v>
      </c>
      <c r="M48" s="2" t="inlineStr">
        <is>
          <t xml:space="preserve">Buy now</t>
        </is>
      </c>
      <c r="N48" s="2" t="inlineStr">
        <is>
          <t xml:space="preserve">Listing</t>
        </is>
      </c>
      <c r="O48" s="2" t="inlineStr">
        <is>
          <t xml:space="preserve">CE Auto Electric Supply</t>
        </is>
      </c>
      <c r="P48" s="8" t="inlineStr">
        <is>
          <t xml:space="preserve">https://ceautoelectricsupply.com/product/gep-waterproof-maxi-fuse-holder-kit/</t>
        </is>
      </c>
      <c r="Q48" s="3" t="inlineStr">
        <is>
          <t xml:space="preserve">2026-10-09</t>
        </is>
      </c>
      <c r="R48" s="2" t="inlineStr">
        <is>
          <t xml:space="preserve">Search result</t>
        </is>
      </c>
      <c r="S48" s="3" t="inlineStr">
        <is>
          <t xml:space="preserve">2026-11-01</t>
        </is>
      </c>
      <c r="T48" s="2" t="inlineStr">
        <is>
          <t xml:space="preserve">§3.2.3.1</t>
        </is>
      </c>
      <c r="U48" s="7" t="inlineStr">
        <is>
          <t xml:space="preserve">One fuse harness per propulsion pack.</t>
        </is>
      </c>
    </row>
    <row r="49" ht="43.5" customHeight="1">
      <c r="A49" s="3" t="inlineStr">
        <is>
          <t xml:space="preserve">B15</t>
        </is>
      </c>
      <c r="B49" s="3" t="inlineStr">
        <is>
          <t xml:space="preserve">B</t>
        </is>
      </c>
      <c r="C49" s="2" t="inlineStr">
        <is>
          <t xml:space="preserve">Propulsion and power</t>
        </is>
      </c>
      <c r="D49" s="2" t="inlineStr">
        <is>
          <t xml:space="preserve">Arming-plug connectors</t>
        </is>
      </c>
      <c r="E49" s="2" t="inlineStr">
        <is>
          <t xml:space="preserve">XT90-S anti-spark pairs (or the packs' connector) and XT90E-M panel mounts.</t>
        </is>
      </c>
      <c r="F49" s="4">
        <v>10</v>
      </c>
      <c r="G49" s="15">
        <v>2.5</v>
      </c>
      <c r="H49" s="3" t="inlineStr">
        <is>
          <t xml:space="preserve">USD</t>
        </is>
      </c>
      <c r="I49" s="5">
        <f>G49</f>
        <v>2.5</v>
      </c>
      <c r="J49" s="5">
        <f>F49*I49</f>
        <v>25.0</v>
      </c>
      <c r="K49" s="6">
        <f>I49*'Read me'!$B$4</f>
        <v>0.7771</v>
      </c>
      <c r="L49" s="6">
        <f>F49*K49</f>
        <v>7.7707</v>
      </c>
      <c r="M49" s="2" t="inlineStr">
        <is>
          <t xml:space="preserve">Buy now</t>
        </is>
      </c>
      <c r="N49" s="2" t="inlineStr">
        <is>
          <t xml:space="preserve">Estimate</t>
        </is>
      </c>
      <c r="O49" s="2" t="inlineStr">
        <is>
          <t xml:space="preserve"/>
        </is>
      </c>
      <c r="Q49" s="3" t="inlineStr">
        <is>
          <t xml:space="preserve">2026-10-09</t>
        </is>
      </c>
      <c r="R49" s="2" t="inlineStr">
        <is>
          <t xml:space="preserve"/>
        </is>
      </c>
      <c r="S49" s="3" t="inlineStr">
        <is>
          <t xml:space="preserve">2026-11-01</t>
        </is>
      </c>
      <c r="T49" s="2" t="inlineStr">
        <is>
          <t xml:space="preserve">§3.2.2</t>
        </is>
      </c>
      <c r="U49" s="7" t="inlineStr">
        <is>
          <t xml:space="preserve">Arming-plug wire must be the same gauge as the pack leads or heavier (10 AWG on the reference pack).</t>
        </is>
      </c>
    </row>
    <row r="50" ht="30" customHeight="1">
      <c r="A50" s="3" t="inlineStr">
        <is>
          <t xml:space="preserve">B16</t>
        </is>
      </c>
      <c r="B50" s="3" t="inlineStr">
        <is>
          <t xml:space="preserve">B</t>
        </is>
      </c>
      <c r="C50" s="2" t="inlineStr">
        <is>
          <t xml:space="preserve">Propulsion and power</t>
        </is>
      </c>
      <c r="D50" s="2" t="inlineStr">
        <is>
          <t xml:space="preserve">Silicone wire</t>
        </is>
      </c>
      <c r="E50" s="2" t="inlineStr">
        <is>
          <t xml:space="preserve">10 AWG and 12 AWG, red and black, 3 m of each.</t>
        </is>
      </c>
      <c r="F50" s="4">
        <v>1</v>
      </c>
      <c r="G50" s="15">
        <v>30.0</v>
      </c>
      <c r="H50" s="3" t="inlineStr">
        <is>
          <t xml:space="preserve">USD</t>
        </is>
      </c>
      <c r="I50" s="5">
        <f>G50</f>
        <v>30.0</v>
      </c>
      <c r="J50" s="5">
        <f>F50*I50</f>
        <v>30.0</v>
      </c>
      <c r="K50" s="6">
        <f>I50*'Read me'!$B$4</f>
        <v>9.3249</v>
      </c>
      <c r="L50" s="6">
        <f>F50*K50</f>
        <v>9.3249</v>
      </c>
      <c r="M50" s="2" t="inlineStr">
        <is>
          <t xml:space="preserve">Buy now</t>
        </is>
      </c>
      <c r="N50" s="2" t="inlineStr">
        <is>
          <t xml:space="preserve">Estimate</t>
        </is>
      </c>
      <c r="O50" s="2" t="inlineStr">
        <is>
          <t xml:space="preserve"/>
        </is>
      </c>
      <c r="Q50" s="3" t="inlineStr">
        <is>
          <t xml:space="preserve">2026-10-09</t>
        </is>
      </c>
      <c r="R50" s="2" t="inlineStr">
        <is>
          <t xml:space="preserve"/>
        </is>
      </c>
      <c r="S50" s="3" t="inlineStr">
        <is>
          <t xml:space="preserve">2026-11-01</t>
        </is>
      </c>
      <c r="T50" s="2" t="inlineStr">
        <is>
          <t xml:space="preserve">§3.2.2</t>
        </is>
      </c>
      <c r="U50" s="7" t="inlineStr">
        <is>
          <t xml:space="preserve"/>
        </is>
      </c>
    </row>
    <row r="51" ht="30" customHeight="1">
      <c r="A51" s="3" t="inlineStr">
        <is>
          <t xml:space="preserve">B17</t>
        </is>
      </c>
      <c r="B51" s="3" t="inlineStr">
        <is>
          <t xml:space="preserve">B</t>
        </is>
      </c>
      <c r="C51" s="2" t="inlineStr">
        <is>
          <t xml:space="preserve">Propulsion and power</t>
        </is>
      </c>
      <c r="D51" s="2" t="inlineStr">
        <is>
          <t xml:space="preserve">Watt meter</t>
        </is>
      </c>
      <c r="E51" s="2" t="inlineStr">
        <is>
          <t xml:space="preserve">ToolkitRC WM150, 1–50 V, 150 A.</t>
        </is>
      </c>
      <c r="F51" s="4">
        <v>1</v>
      </c>
      <c r="G51" s="15">
        <v>51.99</v>
      </c>
      <c r="H51" s="3" t="inlineStr">
        <is>
          <t xml:space="preserve">USD</t>
        </is>
      </c>
      <c r="I51" s="5">
        <f>G51</f>
        <v>51.99</v>
      </c>
      <c r="J51" s="5">
        <f>F51*I51</f>
        <v>51.99</v>
      </c>
      <c r="K51" s="6">
        <f>I51*'Read me'!$B$4</f>
        <v>16.16</v>
      </c>
      <c r="L51" s="6">
        <f>F51*K51</f>
        <v>16.16</v>
      </c>
      <c r="M51" s="2" t="inlineStr">
        <is>
          <t xml:space="preserve">Buy now</t>
        </is>
      </c>
      <c r="N51" s="2" t="inlineStr">
        <is>
          <t xml:space="preserve">Listing</t>
        </is>
      </c>
      <c r="O51" s="2" t="inlineStr">
        <is>
          <t xml:space="preserve">Pyrodrone</t>
        </is>
      </c>
      <c r="P51" s="8" t="inlineStr">
        <is>
          <t xml:space="preserve">https://pyrodrone.com/products/toolkitrc-wm150-advanced-watt-power-meter</t>
        </is>
      </c>
      <c r="Q51" s="3" t="inlineStr">
        <is>
          <t xml:space="preserve">2026-10-09</t>
        </is>
      </c>
      <c r="R51" s="2" t="inlineStr">
        <is>
          <t xml:space="preserve">Search result</t>
        </is>
      </c>
      <c r="S51" s="3" t="inlineStr">
        <is>
          <t xml:space="preserve">2026-11-01</t>
        </is>
      </c>
      <c r="T51" s="2" t="inlineStr">
        <is>
          <t xml:space="preserve">Thrust and energy tests</t>
        </is>
      </c>
      <c r="U51" s="7" t="inlineStr">
        <is>
          <t xml:space="preserve"/>
        </is>
      </c>
    </row>
    <row r="52" ht="30" customHeight="1">
      <c r="A52" s="3" t="inlineStr">
        <is>
          <t xml:space="preserve">B18</t>
        </is>
      </c>
      <c r="B52" s="3" t="inlineStr">
        <is>
          <t xml:space="preserve">B</t>
        </is>
      </c>
      <c r="C52" s="2" t="inlineStr">
        <is>
          <t xml:space="preserve">Propulsion and power</t>
        </is>
      </c>
      <c r="D52" s="2" t="inlineStr">
        <is>
          <t xml:space="preserve">Thrust-stand parts</t>
        </is>
      </c>
      <c r="E52" s="2" t="inlineStr">
        <is>
          <t xml:space="preserve">Load cell (≥ 5 kg), HX711 amplifier, frame stock.</t>
        </is>
      </c>
      <c r="F52" s="4">
        <v>1</v>
      </c>
      <c r="G52" s="15">
        <v>40.0</v>
      </c>
      <c r="H52" s="3" t="inlineStr">
        <is>
          <t xml:space="preserve">USD</t>
        </is>
      </c>
      <c r="I52" s="5">
        <f>G52</f>
        <v>40.0</v>
      </c>
      <c r="J52" s="5">
        <f>F52*I52</f>
        <v>40.0</v>
      </c>
      <c r="K52" s="6">
        <f>I52*'Read me'!$B$4</f>
        <v>12.4332</v>
      </c>
      <c r="L52" s="6">
        <f>F52*K52</f>
        <v>12.4332</v>
      </c>
      <c r="M52" s="2" t="inlineStr">
        <is>
          <t xml:space="preserve">Buy now</t>
        </is>
      </c>
      <c r="N52" s="2" t="inlineStr">
        <is>
          <t xml:space="preserve">Estimate</t>
        </is>
      </c>
      <c r="O52" s="2" t="inlineStr">
        <is>
          <t xml:space="preserve"/>
        </is>
      </c>
      <c r="Q52" s="3" t="inlineStr">
        <is>
          <t xml:space="preserve">2026-10-09</t>
        </is>
      </c>
      <c r="R52" s="2" t="inlineStr">
        <is>
          <t xml:space="preserve"/>
        </is>
      </c>
      <c r="S52" s="3" t="inlineStr">
        <is>
          <t xml:space="preserve">2026-11-01</t>
        </is>
      </c>
      <c r="T52" s="2" t="inlineStr">
        <is>
          <t xml:space="preserve">Thrust test (proposal Table 10)</t>
        </is>
      </c>
      <c r="U52" s="7" t="inlineStr">
        <is>
          <t xml:space="preserve"/>
        </is>
      </c>
    </row>
    <row r="53" ht="30" customHeight="1">
      <c r="A53" s="3" t="inlineStr">
        <is>
          <t xml:space="preserve">B19</t>
        </is>
      </c>
      <c r="B53" s="3" t="inlineStr">
        <is>
          <t xml:space="preserve">B</t>
        </is>
      </c>
      <c r="C53" s="2" t="inlineStr">
        <is>
          <t xml:space="preserve">Airframe and hardware</t>
        </is>
      </c>
      <c r="D53" s="2" t="inlineStr">
        <is>
          <t xml:space="preserve">HV digital servos</t>
        </is>
      </c>
      <c r="E53" s="2" t="inlineStr">
        <is>
          <t xml:space="preserve">6.0–8.4 V, metal gear; size and torque from sizing.</t>
        </is>
      </c>
      <c r="F53" s="4">
        <v>16</v>
      </c>
      <c r="G53" s="15">
        <v>45.0</v>
      </c>
      <c r="H53" s="3" t="inlineStr">
        <is>
          <t xml:space="preserve">USD</t>
        </is>
      </c>
      <c r="I53" s="5">
        <f>G53</f>
        <v>45.0</v>
      </c>
      <c r="J53" s="5">
        <f>F53*I53</f>
        <v>720.0</v>
      </c>
      <c r="K53" s="6">
        <f>I53*'Read me'!$B$4</f>
        <v>13.9873</v>
      </c>
      <c r="L53" s="6">
        <f>F53*K53</f>
        <v>223.7969</v>
      </c>
      <c r="M53" s="2" t="inlineStr">
        <is>
          <t xml:space="preserve">Budget hold</t>
        </is>
      </c>
      <c r="N53" s="2" t="inlineStr">
        <is>
          <t xml:space="preserve">Estimate</t>
        </is>
      </c>
      <c r="O53" s="2" t="inlineStr">
        <is>
          <t xml:space="preserve"/>
        </is>
      </c>
      <c r="Q53" s="3" t="inlineStr">
        <is>
          <t xml:space="preserve">2026-10-09</t>
        </is>
      </c>
      <c r="R53" s="2" t="inlineStr">
        <is>
          <t xml:space="preserve"/>
        </is>
      </c>
      <c r="S53" s="3" t="inlineStr">
        <is>
          <t xml:space="preserve">2026-11-30</t>
        </is>
      </c>
      <c r="T53" s="2" t="inlineStr">
        <is>
          <t xml:space="preserve">§3.2.1</t>
        </is>
      </c>
      <c r="U53" s="7" t="inlineStr">
        <is>
          <t xml:space="preserve">HV rating needed for the 2S LiFe receiver pack (7.2 V full).</t>
        </is>
      </c>
    </row>
    <row r="54" ht="43.5" customHeight="1">
      <c r="A54" s="3" t="inlineStr">
        <is>
          <t xml:space="preserve">B20</t>
        </is>
      </c>
      <c r="B54" s="3" t="inlineStr">
        <is>
          <t xml:space="preserve">B</t>
        </is>
      </c>
      <c r="C54" s="2" t="inlineStr">
        <is>
          <t xml:space="preserve">Airframe and hardware</t>
        </is>
      </c>
      <c r="D54" s="2" t="inlineStr">
        <is>
          <t xml:space="preserve">Linkage hardware</t>
        </is>
      </c>
      <c r="E54" s="2" t="inlineStr">
        <is>
          <t xml:space="preserve">Clevises with locking sleeves, commercial control horns, pushrods.</t>
        </is>
      </c>
      <c r="F54" s="4">
        <v>1</v>
      </c>
      <c r="G54" s="15">
        <v>40.0</v>
      </c>
      <c r="H54" s="3" t="inlineStr">
        <is>
          <t xml:space="preserve">USD</t>
        </is>
      </c>
      <c r="I54" s="5">
        <f>G54</f>
        <v>40.0</v>
      </c>
      <c r="J54" s="5">
        <f>F54*I54</f>
        <v>40.0</v>
      </c>
      <c r="K54" s="6">
        <f>I54*'Read me'!$B$4</f>
        <v>12.4332</v>
      </c>
      <c r="L54" s="6">
        <f>F54*K54</f>
        <v>12.4332</v>
      </c>
      <c r="M54" s="2" t="inlineStr">
        <is>
          <t xml:space="preserve">Buy now</t>
        </is>
      </c>
      <c r="N54" s="2" t="inlineStr">
        <is>
          <t xml:space="preserve">Estimate</t>
        </is>
      </c>
      <c r="O54" s="2" t="inlineStr">
        <is>
          <t xml:space="preserve"/>
        </is>
      </c>
      <c r="Q54" s="3" t="inlineStr">
        <is>
          <t xml:space="preserve">2026-10-09</t>
        </is>
      </c>
      <c r="R54" s="2" t="inlineStr">
        <is>
          <t xml:space="preserve"/>
        </is>
      </c>
      <c r="S54" s="3" t="inlineStr">
        <is>
          <t xml:space="preserve">2026-11-01</t>
        </is>
      </c>
      <c r="T54" s="2" t="inlineStr">
        <is>
          <t xml:space="preserve">§3.2.1, §4.2.1</t>
        </is>
      </c>
      <c r="U54" s="7" t="inlineStr">
        <is>
          <t xml:space="preserve">Clevises need a mechanical lock. Horns go on per the manufacturer's instructions, never glued to film alone.</t>
        </is>
      </c>
    </row>
    <row r="55" ht="30" customHeight="1">
      <c r="A55" s="3" t="inlineStr">
        <is>
          <t xml:space="preserve">B21</t>
        </is>
      </c>
      <c r="B55" s="3" t="inlineStr">
        <is>
          <t xml:space="preserve">B</t>
        </is>
      </c>
      <c r="C55" s="2" t="inlineStr">
        <is>
          <t xml:space="preserve">Airframe and hardware</t>
        </is>
      </c>
      <c r="D55" s="2" t="inlineStr">
        <is>
          <t xml:space="preserve">Fasteners and threadlocker</t>
        </is>
      </c>
      <c r="E55" s="2" t="inlineStr">
        <is>
          <t xml:space="preserve">Nylon-insert lock nuts, M2–M5 screws, washers, heat-set inserts, Loctite 243.</t>
        </is>
      </c>
      <c r="F55" s="4">
        <v>1</v>
      </c>
      <c r="G55" s="15">
        <v>60.0</v>
      </c>
      <c r="H55" s="3" t="inlineStr">
        <is>
          <t xml:space="preserve">USD</t>
        </is>
      </c>
      <c r="I55" s="5">
        <f>G55</f>
        <v>60.0</v>
      </c>
      <c r="J55" s="5">
        <f>F55*I55</f>
        <v>60.0</v>
      </c>
      <c r="K55" s="6">
        <f>I55*'Read me'!$B$4</f>
        <v>18.6497</v>
      </c>
      <c r="L55" s="6">
        <f>F55*K55</f>
        <v>18.6497</v>
      </c>
      <c r="M55" s="2" t="inlineStr">
        <is>
          <t xml:space="preserve">Buy now</t>
        </is>
      </c>
      <c r="N55" s="2" t="inlineStr">
        <is>
          <t xml:space="preserve">Estimate</t>
        </is>
      </c>
      <c r="O55" s="2" t="inlineStr">
        <is>
          <t xml:space="preserve"/>
        </is>
      </c>
      <c r="Q55" s="3" t="inlineStr">
        <is>
          <t xml:space="preserve">2026-10-09</t>
        </is>
      </c>
      <c r="R55" s="2" t="inlineStr">
        <is>
          <t xml:space="preserve"/>
        </is>
      </c>
      <c r="S55" s="3" t="inlineStr">
        <is>
          <t xml:space="preserve">2026-11-01</t>
        </is>
      </c>
      <c r="T55" s="2" t="inlineStr">
        <is>
          <t xml:space="preserve">§3.2.1, §4.2.1</t>
        </is>
      </c>
      <c r="U55" s="7" t="inlineStr">
        <is>
          <t xml:space="preserve">Every permanent fastener needs a secondary retention method.</t>
        </is>
      </c>
    </row>
    <row r="56" ht="43.5" customHeight="1">
      <c r="A56" s="3" t="inlineStr">
        <is>
          <t xml:space="preserve">B22</t>
        </is>
      </c>
      <c r="B56" s="3" t="inlineStr">
        <is>
          <t xml:space="preserve">B</t>
        </is>
      </c>
      <c r="C56" s="2" t="inlineStr">
        <is>
          <t xml:space="preserve">Airframe and hardware</t>
        </is>
      </c>
      <c r="D56" s="2" t="inlineStr">
        <is>
          <t xml:space="preserve">Carbon-fibre tubes</t>
        </is>
      </c>
      <c r="E56" s="2" t="inlineStr">
        <is>
          <t xml:space="preserve">Roll-wrapped; OD and wall from sizing (spar, tail boom). Reference: Rock West 45002, 3k twill, 0.983 × 1.055 × 72 in.</t>
        </is>
      </c>
      <c r="F56" s="4">
        <v>4</v>
      </c>
      <c r="G56" s="15">
        <v>99.99</v>
      </c>
      <c r="H56" s="3" t="inlineStr">
        <is>
          <t xml:space="preserve">USD</t>
        </is>
      </c>
      <c r="I56" s="5">
        <f>G56</f>
        <v>99.99</v>
      </c>
      <c r="J56" s="5">
        <f>F56*I56</f>
        <v>399.96</v>
      </c>
      <c r="K56" s="6">
        <f>I56*'Read me'!$B$4</f>
        <v>31.0798</v>
      </c>
      <c r="L56" s="6">
        <f>F56*K56</f>
        <v>124.3192</v>
      </c>
      <c r="M56" s="2" t="inlineStr">
        <is>
          <t xml:space="preserve">Budget hold</t>
        </is>
      </c>
      <c r="N56" s="2" t="inlineStr">
        <is>
          <t xml:space="preserve">Listing</t>
        </is>
      </c>
      <c r="O56" s="2" t="inlineStr">
        <is>
          <t xml:space="preserve">Rock West Composites</t>
        </is>
      </c>
      <c r="P56" s="8" t="inlineStr">
        <is>
          <t xml:space="preserve">https://www.rockwestcomposites.com/roll-wrapped-carbon-fiber-tubes</t>
        </is>
      </c>
      <c r="Q56" s="3" t="inlineStr">
        <is>
          <t xml:space="preserve">2026-10-09</t>
        </is>
      </c>
      <c r="R56" s="2" t="inlineStr">
        <is>
          <t xml:space="preserve">Vendor page</t>
        </is>
      </c>
      <c r="S56" s="3" t="inlineStr">
        <is>
          <t xml:space="preserve">2026-11-30</t>
        </is>
      </c>
      <c r="T56" s="2" t="inlineStr">
        <is>
          <t xml:space="preserve">Sizing</t>
        </is>
      </c>
      <c r="U56" s="7" t="inlineStr">
        <is>
          <t xml:space="preserve"/>
        </is>
      </c>
    </row>
    <row r="57" ht="30" customHeight="1">
      <c r="A57" s="3" t="inlineStr">
        <is>
          <t xml:space="preserve">B23</t>
        </is>
      </c>
      <c r="B57" s="3" t="inlineStr">
        <is>
          <t xml:space="preserve">B</t>
        </is>
      </c>
      <c r="C57" s="2" t="inlineStr">
        <is>
          <t xml:space="preserve">Airframe and hardware</t>
        </is>
      </c>
      <c r="D57" s="2" t="inlineStr">
        <is>
          <t xml:space="preserve">Balsa and aircraft plywood</t>
        </is>
      </c>
      <c r="E57" s="2" t="inlineStr">
        <is>
          <t xml:space="preserve">Balsa sheet 1.5–6 mm; birch aircraft ply 1.5 and 3 mm.</t>
        </is>
      </c>
      <c r="F57" s="4">
        <v>1</v>
      </c>
      <c r="G57" s="15">
        <v>150.0</v>
      </c>
      <c r="H57" s="3" t="inlineStr">
        <is>
          <t xml:space="preserve">USD</t>
        </is>
      </c>
      <c r="I57" s="5">
        <f>G57</f>
        <v>150.0</v>
      </c>
      <c r="J57" s="5">
        <f>F57*I57</f>
        <v>150.0</v>
      </c>
      <c r="K57" s="6">
        <f>I57*'Read me'!$B$4</f>
        <v>46.6244</v>
      </c>
      <c r="L57" s="6">
        <f>F57*K57</f>
        <v>46.6244</v>
      </c>
      <c r="M57" s="2" t="inlineStr">
        <is>
          <t xml:space="preserve">Budget hold</t>
        </is>
      </c>
      <c r="N57" s="2" t="inlineStr">
        <is>
          <t xml:space="preserve">Estimate</t>
        </is>
      </c>
      <c r="O57" s="2" t="inlineStr">
        <is>
          <t xml:space="preserve"/>
        </is>
      </c>
      <c r="Q57" s="3" t="inlineStr">
        <is>
          <t xml:space="preserve">2026-10-09</t>
        </is>
      </c>
      <c r="R57" s="2" t="inlineStr">
        <is>
          <t xml:space="preserve"/>
        </is>
      </c>
      <c r="S57" s="3" t="inlineStr">
        <is>
          <t xml:space="preserve">2026-11-30</t>
        </is>
      </c>
      <c r="T57" s="2" t="inlineStr">
        <is>
          <t xml:space="preserve">Sizing</t>
        </is>
      </c>
      <c r="U57" s="7" t="inlineStr">
        <is>
          <t xml:space="preserve"/>
        </is>
      </c>
    </row>
    <row r="58" ht="30" customHeight="1">
      <c r="A58" s="3" t="inlineStr">
        <is>
          <t xml:space="preserve">B24</t>
        </is>
      </c>
      <c r="B58" s="3" t="inlineStr">
        <is>
          <t xml:space="preserve">B</t>
        </is>
      </c>
      <c r="C58" s="2" t="inlineStr">
        <is>
          <t xml:space="preserve">Airframe and hardware</t>
        </is>
      </c>
      <c r="D58" s="2" t="inlineStr">
        <is>
          <t xml:space="preserve">Foam boards</t>
        </is>
      </c>
      <c r="E58" s="2" t="inlineStr">
        <is>
          <t xml:space="preserve">XPS or EPS, 50 mm, for hot-wire wing cores.</t>
        </is>
      </c>
      <c r="F58" s="4">
        <v>6</v>
      </c>
      <c r="G58" s="15">
        <v>15.0</v>
      </c>
      <c r="H58" s="3" t="inlineStr">
        <is>
          <t xml:space="preserve">USD</t>
        </is>
      </c>
      <c r="I58" s="5">
        <f>G58</f>
        <v>15.0</v>
      </c>
      <c r="J58" s="5">
        <f>F58*I58</f>
        <v>90.0</v>
      </c>
      <c r="K58" s="6">
        <f>I58*'Read me'!$B$4</f>
        <v>4.6624</v>
      </c>
      <c r="L58" s="6">
        <f>F58*K58</f>
        <v>27.9746</v>
      </c>
      <c r="M58" s="2" t="inlineStr">
        <is>
          <t xml:space="preserve">Budget hold</t>
        </is>
      </c>
      <c r="N58" s="2" t="inlineStr">
        <is>
          <t xml:space="preserve">Estimate</t>
        </is>
      </c>
      <c r="O58" s="2" t="inlineStr">
        <is>
          <t xml:space="preserve"/>
        </is>
      </c>
      <c r="Q58" s="3" t="inlineStr">
        <is>
          <t xml:space="preserve">2026-10-09</t>
        </is>
      </c>
      <c r="R58" s="2" t="inlineStr">
        <is>
          <t xml:space="preserve"/>
        </is>
      </c>
      <c r="S58" s="3" t="inlineStr">
        <is>
          <t xml:space="preserve">2026-11-30</t>
        </is>
      </c>
      <c r="T58" s="2" t="inlineStr">
        <is>
          <t xml:space="preserve">Sizing</t>
        </is>
      </c>
      <c r="U58" s="7" t="inlineStr">
        <is>
          <t xml:space="preserve"/>
        </is>
      </c>
    </row>
    <row r="59" ht="30" customHeight="1">
      <c r="A59" s="3" t="inlineStr">
        <is>
          <t xml:space="preserve">B25</t>
        </is>
      </c>
      <c r="B59" s="3" t="inlineStr">
        <is>
          <t xml:space="preserve">B</t>
        </is>
      </c>
      <c r="C59" s="2" t="inlineStr">
        <is>
          <t xml:space="preserve">Airframe and hardware</t>
        </is>
      </c>
      <c r="D59" s="2" t="inlineStr">
        <is>
          <t xml:space="preserve">Covering</t>
        </is>
      </c>
      <c r="E59" s="2" t="inlineStr">
        <is>
          <t xml:space="preserve">Heat-shrink covering film or laminating film (the team has no composites capability).</t>
        </is>
      </c>
      <c r="F59" s="4">
        <v>4</v>
      </c>
      <c r="G59" s="15">
        <v>30.0</v>
      </c>
      <c r="H59" s="3" t="inlineStr">
        <is>
          <t xml:space="preserve">USD</t>
        </is>
      </c>
      <c r="I59" s="5">
        <f>G59</f>
        <v>30.0</v>
      </c>
      <c r="J59" s="5">
        <f>F59*I59</f>
        <v>120.0</v>
      </c>
      <c r="K59" s="6">
        <f>I59*'Read me'!$B$4</f>
        <v>9.3249</v>
      </c>
      <c r="L59" s="6">
        <f>F59*K59</f>
        <v>37.2995</v>
      </c>
      <c r="M59" s="2" t="inlineStr">
        <is>
          <t xml:space="preserve">Budget hold</t>
        </is>
      </c>
      <c r="N59" s="2" t="inlineStr">
        <is>
          <t xml:space="preserve">Estimate</t>
        </is>
      </c>
      <c r="O59" s="2" t="inlineStr">
        <is>
          <t xml:space="preserve"/>
        </is>
      </c>
      <c r="Q59" s="3" t="inlineStr">
        <is>
          <t xml:space="preserve">2026-10-09</t>
        </is>
      </c>
      <c r="R59" s="2" t="inlineStr">
        <is>
          <t xml:space="preserve"/>
        </is>
      </c>
      <c r="S59" s="3" t="inlineStr">
        <is>
          <t xml:space="preserve">2026-11-30</t>
        </is>
      </c>
      <c r="T59" s="2" t="inlineStr">
        <is>
          <t xml:space="preserve">Manufacturing plan</t>
        </is>
      </c>
      <c r="U59" s="7" t="inlineStr">
        <is>
          <t xml:space="preserve"/>
        </is>
      </c>
    </row>
    <row r="60" ht="30" customHeight="1">
      <c r="A60" s="3" t="inlineStr">
        <is>
          <t xml:space="preserve">B26</t>
        </is>
      </c>
      <c r="B60" s="3" t="inlineStr">
        <is>
          <t xml:space="preserve">B</t>
        </is>
      </c>
      <c r="C60" s="2" t="inlineStr">
        <is>
          <t xml:space="preserve">Airframe and hardware</t>
        </is>
      </c>
      <c r="D60" s="2" t="inlineStr">
        <is>
          <t xml:space="preserve">Landing gear and wheels</t>
        </is>
      </c>
      <c r="E60" s="2" t="inlineStr">
        <is>
          <t xml:space="preserve">Set by the gear trade (tricycle or taildragger).</t>
        </is>
      </c>
      <c r="F60" s="4">
        <v>2</v>
      </c>
      <c r="G60" s="15">
        <v>60.0</v>
      </c>
      <c r="H60" s="3" t="inlineStr">
        <is>
          <t xml:space="preserve">USD</t>
        </is>
      </c>
      <c r="I60" s="5">
        <f>G60</f>
        <v>60.0</v>
      </c>
      <c r="J60" s="5">
        <f>F60*I60</f>
        <v>120.0</v>
      </c>
      <c r="K60" s="6">
        <f>I60*'Read me'!$B$4</f>
        <v>18.6497</v>
      </c>
      <c r="L60" s="6">
        <f>F60*K60</f>
        <v>37.2995</v>
      </c>
      <c r="M60" s="2" t="inlineStr">
        <is>
          <t xml:space="preserve">Budget hold</t>
        </is>
      </c>
      <c r="N60" s="2" t="inlineStr">
        <is>
          <t xml:space="preserve">Estimate</t>
        </is>
      </c>
      <c r="O60" s="2" t="inlineStr">
        <is>
          <t xml:space="preserve"/>
        </is>
      </c>
      <c r="Q60" s="3" t="inlineStr">
        <is>
          <t xml:space="preserve">2026-10-09</t>
        </is>
      </c>
      <c r="R60" s="2" t="inlineStr">
        <is>
          <t xml:space="preserve"/>
        </is>
      </c>
      <c r="S60" s="3" t="inlineStr">
        <is>
          <t xml:space="preserve">2026-11-30</t>
        </is>
      </c>
      <c r="T60" s="2" t="inlineStr">
        <is>
          <t xml:space="preserve">Configuration trade</t>
        </is>
      </c>
      <c r="U60" s="7" t="inlineStr">
        <is>
          <t xml:space="preserve"/>
        </is>
      </c>
    </row>
    <row r="61" ht="43.5" customHeight="1">
      <c r="A61" s="3" t="inlineStr">
        <is>
          <t xml:space="preserve">B27</t>
        </is>
      </c>
      <c r="B61" s="3" t="inlineStr">
        <is>
          <t xml:space="preserve">B</t>
        </is>
      </c>
      <c r="C61" s="2" t="inlineStr">
        <is>
          <t xml:space="preserve">Airframe and hardware</t>
        </is>
      </c>
      <c r="D61" s="2" t="inlineStr">
        <is>
          <t xml:space="preserve">Adhesives and shop consumables</t>
        </is>
      </c>
      <c r="E61" s="2" t="inlineStr">
        <is>
          <t xml:space="preserve">CA (thin, medium, thick) and accelerator, 5- and 30-minute epoxy, hot glue, sandpaper, blades, zip ties, hook-and-loop, heat-shrink.</t>
        </is>
      </c>
      <c r="F61" s="4">
        <v>1</v>
      </c>
      <c r="G61" s="15">
        <v>150.0</v>
      </c>
      <c r="H61" s="3" t="inlineStr">
        <is>
          <t xml:space="preserve">USD</t>
        </is>
      </c>
      <c r="I61" s="5">
        <f>G61</f>
        <v>150.0</v>
      </c>
      <c r="J61" s="5">
        <f>F61*I61</f>
        <v>150.0</v>
      </c>
      <c r="K61" s="6">
        <f>I61*'Read me'!$B$4</f>
        <v>46.6244</v>
      </c>
      <c r="L61" s="6">
        <f>F61*K61</f>
        <v>46.6244</v>
      </c>
      <c r="M61" s="2" t="inlineStr">
        <is>
          <t xml:space="preserve">Buy now</t>
        </is>
      </c>
      <c r="N61" s="2" t="inlineStr">
        <is>
          <t xml:space="preserve">Estimate</t>
        </is>
      </c>
      <c r="O61" s="2" t="inlineStr">
        <is>
          <t xml:space="preserve"/>
        </is>
      </c>
      <c r="Q61" s="3" t="inlineStr">
        <is>
          <t xml:space="preserve">2026-10-09</t>
        </is>
      </c>
      <c r="R61" s="2" t="inlineStr">
        <is>
          <t xml:space="preserve"/>
        </is>
      </c>
      <c r="S61" s="3" t="inlineStr">
        <is>
          <t xml:space="preserve">2026-11-01</t>
        </is>
      </c>
      <c r="T61" s="2" t="inlineStr">
        <is>
          <t xml:space="preserve">Build</t>
        </is>
      </c>
      <c r="U61" s="7" t="inlineStr">
        <is>
          <t xml:space="preserve">The 2026 judges flagged missing consumables in the budget.</t>
        </is>
      </c>
    </row>
    <row r="62" ht="30" customHeight="1">
      <c r="A62" s="3" t="inlineStr">
        <is>
          <t xml:space="preserve">B28</t>
        </is>
      </c>
      <c r="B62" s="3" t="inlineStr">
        <is>
          <t xml:space="preserve">B</t>
        </is>
      </c>
      <c r="C62" s="2" t="inlineStr">
        <is>
          <t xml:space="preserve">Sensor, D&amp;R and test box</t>
        </is>
      </c>
      <c r="D62" s="2" t="inlineStr">
        <is>
          <t xml:space="preserve">Slip rings</t>
        </is>
      </c>
      <c r="E62" s="2" t="inlineStr">
        <is>
          <t xml:space="preserve">Capsule slip ring, 22 mm flange, 6 wires, 2 A, up to 300 rpm (Adafruit 736).</t>
        </is>
      </c>
      <c r="F62" s="4">
        <v>3</v>
      </c>
      <c r="G62" s="15">
        <v>14.95</v>
      </c>
      <c r="H62" s="3" t="inlineStr">
        <is>
          <t xml:space="preserve">USD</t>
        </is>
      </c>
      <c r="I62" s="5">
        <f>G62</f>
        <v>14.95</v>
      </c>
      <c r="J62" s="5">
        <f>F62*I62</f>
        <v>44.85</v>
      </c>
      <c r="K62" s="6">
        <f>I62*'Read me'!$B$4</f>
        <v>4.6469</v>
      </c>
      <c r="L62" s="6">
        <f>F62*K62</f>
        <v>13.9407</v>
      </c>
      <c r="M62" s="2" t="inlineStr">
        <is>
          <t xml:space="preserve">Buy now</t>
        </is>
      </c>
      <c r="N62" s="2" t="inlineStr">
        <is>
          <t xml:space="preserve">Listing</t>
        </is>
      </c>
      <c r="O62" s="2" t="inlineStr">
        <is>
          <t xml:space="preserve">Adafruit</t>
        </is>
      </c>
      <c r="P62" s="8" t="inlineStr">
        <is>
          <t xml:space="preserve">https://www.adafruit.com/product/736</t>
        </is>
      </c>
      <c r="Q62" s="3" t="inlineStr">
        <is>
          <t xml:space="preserve">2026-10-09</t>
        </is>
      </c>
      <c r="R62" s="2" t="inlineStr">
        <is>
          <t xml:space="preserve">Vendor page</t>
        </is>
      </c>
      <c r="S62" s="3" t="inlineStr">
        <is>
          <t xml:space="preserve">2026-11-01</t>
        </is>
      </c>
      <c r="T62" s="2" t="inlineStr">
        <is>
          <t xml:space="preserve">SR-06, SR-07</t>
        </is>
      </c>
      <c r="U62" s="7" t="inlineStr">
        <is>
          <t xml:space="preserve"/>
        </is>
      </c>
    </row>
    <row r="63" ht="30" customHeight="1">
      <c r="A63" s="3" t="inlineStr">
        <is>
          <t xml:space="preserve">B29</t>
        </is>
      </c>
      <c r="B63" s="3" t="inlineStr">
        <is>
          <t xml:space="preserve">B</t>
        </is>
      </c>
      <c r="C63" s="2" t="inlineStr">
        <is>
          <t xml:space="preserve">Sensor, D&amp;R and test box</t>
        </is>
      </c>
      <c r="D63" s="2" t="inlineStr">
        <is>
          <t xml:space="preserve">Reel actuator candidates</t>
        </is>
      </c>
      <c r="E63" s="2" t="inlineStr">
        <is>
          <t xml:space="preserve">Multi-turn sail-winch servo or DC gearmotor with encoder; torque and turns from Script 5.</t>
        </is>
      </c>
      <c r="F63" s="4">
        <v>3</v>
      </c>
      <c r="G63" s="15">
        <v>45.0</v>
      </c>
      <c r="H63" s="3" t="inlineStr">
        <is>
          <t xml:space="preserve">USD</t>
        </is>
      </c>
      <c r="I63" s="5">
        <f>G63</f>
        <v>45.0</v>
      </c>
      <c r="J63" s="5">
        <f>F63*I63</f>
        <v>135.0</v>
      </c>
      <c r="K63" s="6">
        <f>I63*'Read me'!$B$4</f>
        <v>13.9873</v>
      </c>
      <c r="L63" s="6">
        <f>F63*K63</f>
        <v>41.9619</v>
      </c>
      <c r="M63" s="2" t="inlineStr">
        <is>
          <t xml:space="preserve">Budget hold</t>
        </is>
      </c>
      <c r="N63" s="2" t="inlineStr">
        <is>
          <t xml:space="preserve">Estimate</t>
        </is>
      </c>
      <c r="O63" s="2" t="inlineStr">
        <is>
          <t xml:space="preserve"/>
        </is>
      </c>
      <c r="Q63" s="3" t="inlineStr">
        <is>
          <t xml:space="preserve">2026-10-09</t>
        </is>
      </c>
      <c r="R63" s="2" t="inlineStr">
        <is>
          <t xml:space="preserve"/>
        </is>
      </c>
      <c r="S63" s="3" t="inlineStr">
        <is>
          <t xml:space="preserve">2026-11-30</t>
        </is>
      </c>
      <c r="T63" s="2" t="inlineStr">
        <is>
          <t xml:space="preserve">SR-06, Script 5</t>
        </is>
      </c>
      <c r="U63" s="7" t="inlineStr">
        <is>
          <t xml:space="preserve"/>
        </is>
      </c>
    </row>
    <row r="64" ht="43.5" customHeight="1">
      <c r="A64" s="3" t="inlineStr">
        <is>
          <t xml:space="preserve">B30</t>
        </is>
      </c>
      <c r="B64" s="3" t="inlineStr">
        <is>
          <t xml:space="preserve">B</t>
        </is>
      </c>
      <c r="C64" s="2" t="inlineStr">
        <is>
          <t xml:space="preserve">Sensor, D&amp;R and test box</t>
        </is>
      </c>
      <c r="D64" s="2" t="inlineStr">
        <is>
          <t xml:space="preserve">Tow-line conductor</t>
        </is>
      </c>
      <c r="E64" s="2" t="inlineStr">
        <is>
          <t xml:space="preserve">2-conductor 28–30 AWG PTFE or silicone wire, 10 m. Strength member: the PE braid (A11).</t>
        </is>
      </c>
      <c r="F64" s="4">
        <v>2</v>
      </c>
      <c r="G64" s="15">
        <v>12.0</v>
      </c>
      <c r="H64" s="3" t="inlineStr">
        <is>
          <t xml:space="preserve">USD</t>
        </is>
      </c>
      <c r="I64" s="5">
        <f>G64</f>
        <v>12.0</v>
      </c>
      <c r="J64" s="5">
        <f>F64*I64</f>
        <v>24.0</v>
      </c>
      <c r="K64" s="6">
        <f>I64*'Read me'!$B$4</f>
        <v>3.7299</v>
      </c>
      <c r="L64" s="6">
        <f>F64*K64</f>
        <v>7.4599</v>
      </c>
      <c r="M64" s="2" t="inlineStr">
        <is>
          <t xml:space="preserve">Buy now</t>
        </is>
      </c>
      <c r="N64" s="2" t="inlineStr">
        <is>
          <t xml:space="preserve">Estimate</t>
        </is>
      </c>
      <c r="O64" s="2" t="inlineStr">
        <is>
          <t xml:space="preserve"/>
        </is>
      </c>
      <c r="Q64" s="3" t="inlineStr">
        <is>
          <t xml:space="preserve">2026-10-09</t>
        </is>
      </c>
      <c r="R64" s="2" t="inlineStr">
        <is>
          <t xml:space="preserve"/>
        </is>
      </c>
      <c r="S64" s="3" t="inlineStr">
        <is>
          <t xml:space="preserve">2026-11-01</t>
        </is>
      </c>
      <c r="T64" s="2" t="inlineStr">
        <is>
          <t xml:space="preserve">SR-06, SR-07</t>
        </is>
      </c>
      <c r="U64" s="7" t="inlineStr">
        <is>
          <t xml:space="preserve">The tow line carries both the mechanical and the electrical connection (§3.1.1).</t>
        </is>
      </c>
    </row>
    <row r="65" ht="30" customHeight="1">
      <c r="A65" s="3" t="inlineStr">
        <is>
          <t xml:space="preserve">B31</t>
        </is>
      </c>
      <c r="B65" s="3" t="inlineStr">
        <is>
          <t xml:space="preserve">B</t>
        </is>
      </c>
      <c r="C65" s="2" t="inlineStr">
        <is>
          <t xml:space="preserve">Sensor, D&amp;R and test box</t>
        </is>
      </c>
      <c r="D65" s="2" t="inlineStr">
        <is>
          <t xml:space="preserve">Locking micro connectors</t>
        </is>
      </c>
      <c r="E65" s="2" t="inlineStr">
        <is>
          <t xml:space="preserve">JST-GH 2–4 pin with pre-crimped leads, for the tow-line electrical interface.</t>
        </is>
      </c>
      <c r="F65" s="4">
        <v>1</v>
      </c>
      <c r="G65" s="15">
        <v>20.0</v>
      </c>
      <c r="H65" s="3" t="inlineStr">
        <is>
          <t xml:space="preserve">USD</t>
        </is>
      </c>
      <c r="I65" s="5">
        <f>G65</f>
        <v>20.0</v>
      </c>
      <c r="J65" s="5">
        <f>F65*I65</f>
        <v>20.0</v>
      </c>
      <c r="K65" s="6">
        <f>I65*'Read me'!$B$4</f>
        <v>6.2166</v>
      </c>
      <c r="L65" s="6">
        <f>F65*K65</f>
        <v>6.2166</v>
      </c>
      <c r="M65" s="2" t="inlineStr">
        <is>
          <t xml:space="preserve">Buy now</t>
        </is>
      </c>
      <c r="N65" s="2" t="inlineStr">
        <is>
          <t xml:space="preserve">Estimate</t>
        </is>
      </c>
      <c r="O65" s="2" t="inlineStr">
        <is>
          <t xml:space="preserve"/>
        </is>
      </c>
      <c r="Q65" s="3" t="inlineStr">
        <is>
          <t xml:space="preserve">2026-10-09</t>
        </is>
      </c>
      <c r="R65" s="2" t="inlineStr">
        <is>
          <t xml:space="preserve"/>
        </is>
      </c>
      <c r="S65" s="3" t="inlineStr">
        <is>
          <t xml:space="preserve">2026-11-01</t>
        </is>
      </c>
      <c r="T65" s="2" t="inlineStr">
        <is>
          <t xml:space="preserve">SR-07</t>
        </is>
      </c>
      <c r="U65" s="7" t="inlineStr">
        <is>
          <t xml:space="preserve"/>
        </is>
      </c>
    </row>
    <row r="66" ht="30" customHeight="1">
      <c r="A66" s="3" t="inlineStr">
        <is>
          <t xml:space="preserve">B32</t>
        </is>
      </c>
      <c r="B66" s="3" t="inlineStr">
        <is>
          <t xml:space="preserve">B</t>
        </is>
      </c>
      <c r="C66" s="2" t="inlineStr">
        <is>
          <t xml:space="preserve">Sensor, D&amp;R and test box</t>
        </is>
      </c>
      <c r="D66" s="2" t="inlineStr">
        <is>
          <t xml:space="preserve">Sensor light-controller MCU</t>
        </is>
      </c>
      <c r="E66" s="2" t="inlineStr">
        <is>
          <t xml:space="preserve">Seeed XIAO RP2040 (21 × 17.5 mm).</t>
        </is>
      </c>
      <c r="F66" s="4">
        <v>4</v>
      </c>
      <c r="G66" s="15">
        <v>3.9</v>
      </c>
      <c r="H66" s="3" t="inlineStr">
        <is>
          <t xml:space="preserve">GBP</t>
        </is>
      </c>
      <c r="I66" s="5">
        <f>G66*'Read me'!$B$5</f>
        <v>5.1593</v>
      </c>
      <c r="J66" s="5">
        <f>F66*I66</f>
        <v>20.6372</v>
      </c>
      <c r="K66" s="6">
        <f>I66*'Read me'!$B$4</f>
        <v>1.6037</v>
      </c>
      <c r="L66" s="6">
        <f>F66*K66</f>
        <v>6.4147</v>
      </c>
      <c r="M66" s="2" t="inlineStr">
        <is>
          <t xml:space="preserve">Buy now</t>
        </is>
      </c>
      <c r="N66" s="2" t="inlineStr">
        <is>
          <t xml:space="preserve">Listing</t>
        </is>
      </c>
      <c r="O66" s="2" t="inlineStr">
        <is>
          <t xml:space="preserve">The Pi Hut (incl. VAT)</t>
        </is>
      </c>
      <c r="P66" s="8" t="inlineStr">
        <is>
          <t xml:space="preserve">https://thepihut.com/collections/all/products/seeed-xiao-rp2040</t>
        </is>
      </c>
      <c r="Q66" s="3" t="inlineStr">
        <is>
          <t xml:space="preserve">2026-10-09</t>
        </is>
      </c>
      <c r="R66" s="2" t="inlineStr">
        <is>
          <t xml:space="preserve">Search result</t>
        </is>
      </c>
      <c r="S66" s="3" t="inlineStr">
        <is>
          <t xml:space="preserve">2026-11-01</t>
        </is>
      </c>
      <c r="T66" s="2" t="inlineStr">
        <is>
          <t xml:space="preserve">SR-07, §3.1.1</t>
        </is>
      </c>
      <c r="U66" s="7" t="inlineStr">
        <is>
          <t xml:space="preserve">Describe it only as payload light control.</t>
        </is>
      </c>
    </row>
    <row r="67" ht="57" customHeight="1">
      <c r="A67" s="3" t="inlineStr">
        <is>
          <t xml:space="preserve">B33</t>
        </is>
      </c>
      <c r="B67" s="3" t="inlineStr">
        <is>
          <t xml:space="preserve">B</t>
        </is>
      </c>
      <c r="C67" s="2" t="inlineStr">
        <is>
          <t xml:space="preserve">Sensor, D&amp;R and test box</t>
        </is>
      </c>
      <c r="D67" s="2" t="inlineStr">
        <is>
          <t xml:space="preserve">Sensor test-box parts</t>
        </is>
      </c>
      <c r="E67" s="2" t="inlineStr">
        <is>
          <t xml:space="preserve">3-position switch, mating tow-line connector, printed enclosure, battery holder. Generates the same 1000 / 1500 / 2000 µs PWM as the receiver channel.</t>
        </is>
      </c>
      <c r="F67" s="4">
        <v>2</v>
      </c>
      <c r="G67" s="15">
        <v>20.0</v>
      </c>
      <c r="H67" s="3" t="inlineStr">
        <is>
          <t xml:space="preserve">USD</t>
        </is>
      </c>
      <c r="I67" s="5">
        <f>G67</f>
        <v>20.0</v>
      </c>
      <c r="J67" s="5">
        <f>F67*I67</f>
        <v>40.0</v>
      </c>
      <c r="K67" s="6">
        <f>I67*'Read me'!$B$4</f>
        <v>6.2166</v>
      </c>
      <c r="L67" s="6">
        <f>F67*K67</f>
        <v>12.4332</v>
      </c>
      <c r="M67" s="2" t="inlineStr">
        <is>
          <t xml:space="preserve">Buy now</t>
        </is>
      </c>
      <c r="N67" s="2" t="inlineStr">
        <is>
          <t xml:space="preserve">Estimate</t>
        </is>
      </c>
      <c r="O67" s="2" t="inlineStr">
        <is>
          <t xml:space="preserve"/>
        </is>
      </c>
      <c r="Q67" s="3" t="inlineStr">
        <is>
          <t xml:space="preserve">2026-10-09</t>
        </is>
      </c>
      <c r="R67" s="2" t="inlineStr">
        <is>
          <t xml:space="preserve"/>
        </is>
      </c>
      <c r="S67" s="3" t="inlineStr">
        <is>
          <t xml:space="preserve">2026-11-01</t>
        </is>
      </c>
      <c r="T67" s="2" t="inlineStr">
        <is>
          <t xml:space="preserve">§3.1.1, §3.3.4, §4.1</t>
        </is>
      </c>
      <c r="U67" s="7" t="inlineStr">
        <is>
          <t xml:space="preserve">Mandatory at tech inspection and in the Ground Mission.</t>
        </is>
      </c>
    </row>
    <row r="68" ht="30" customHeight="1">
      <c r="A68" s="3" t="inlineStr">
        <is>
          <t xml:space="preserve">B34</t>
        </is>
      </c>
      <c r="B68" s="3" t="inlineStr">
        <is>
          <t xml:space="preserve">B</t>
        </is>
      </c>
      <c r="C68" s="2" t="inlineStr">
        <is>
          <t xml:space="preserve">Sensor, D&amp;R and test box</t>
        </is>
      </c>
      <c r="D68" s="2" t="inlineStr">
        <is>
          <t xml:space="preserve">Final sensor LEDs and batteries</t>
        </is>
      </c>
      <c r="E68" s="2" t="inlineStr">
        <is>
          <t xml:space="preserve">Chosen from the TC-03 results.</t>
        </is>
      </c>
      <c r="F68" s="4">
        <v>1</v>
      </c>
      <c r="G68" s="15">
        <v>40.0</v>
      </c>
      <c r="H68" s="3" t="inlineStr">
        <is>
          <t xml:space="preserve">USD</t>
        </is>
      </c>
      <c r="I68" s="5">
        <f>G68</f>
        <v>40.0</v>
      </c>
      <c r="J68" s="5">
        <f>F68*I68</f>
        <v>40.0</v>
      </c>
      <c r="K68" s="6">
        <f>I68*'Read me'!$B$4</f>
        <v>12.4332</v>
      </c>
      <c r="L68" s="6">
        <f>F68*K68</f>
        <v>12.4332</v>
      </c>
      <c r="M68" s="2" t="inlineStr">
        <is>
          <t xml:space="preserve">Budget hold</t>
        </is>
      </c>
      <c r="N68" s="2" t="inlineStr">
        <is>
          <t xml:space="preserve">Estimate</t>
        </is>
      </c>
      <c r="O68" s="2" t="inlineStr">
        <is>
          <t xml:space="preserve"/>
        </is>
      </c>
      <c r="Q68" s="3" t="inlineStr">
        <is>
          <t xml:space="preserve">2026-10-09</t>
        </is>
      </c>
      <c r="R68" s="2" t="inlineStr">
        <is>
          <t xml:space="preserve"/>
        </is>
      </c>
      <c r="S68" s="3" t="inlineStr">
        <is>
          <t xml:space="preserve">2026-11-30</t>
        </is>
      </c>
      <c r="T68" s="2" t="inlineStr">
        <is>
          <t xml:space="preserve">TC-03</t>
        </is>
      </c>
      <c r="U68" s="7" t="inlineStr">
        <is>
          <t xml:space="preserve"/>
        </is>
      </c>
    </row>
    <row r="69" ht="30" customHeight="1">
      <c r="A69" s="3" t="inlineStr">
        <is>
          <t xml:space="preserve">B35</t>
        </is>
      </c>
      <c r="B69" s="3" t="inlineStr">
        <is>
          <t xml:space="preserve">B</t>
        </is>
      </c>
      <c r="C69" s="2" t="inlineStr">
        <is>
          <t xml:space="preserve">Logistics</t>
        </is>
      </c>
      <c r="D69" s="2" t="inlineStr">
        <is>
          <t xml:space="preserve">Shipping crate materials</t>
        </is>
      </c>
      <c r="E69" s="2" t="inlineStr">
        <is>
          <t xml:space="preserve">Plywood, foam and hardware for a travel crate.</t>
        </is>
      </c>
      <c r="F69" s="4">
        <v>1</v>
      </c>
      <c r="G69" s="15">
        <v>150.0</v>
      </c>
      <c r="H69" s="3" t="inlineStr">
        <is>
          <t xml:space="preserve">USD</t>
        </is>
      </c>
      <c r="I69" s="5">
        <f>G69</f>
        <v>150.0</v>
      </c>
      <c r="J69" s="5">
        <f>F69*I69</f>
        <v>150.0</v>
      </c>
      <c r="K69" s="6">
        <f>I69*'Read me'!$B$4</f>
        <v>46.6244</v>
      </c>
      <c r="L69" s="6">
        <f>F69*K69</f>
        <v>46.6244</v>
      </c>
      <c r="M69" s="2" t="inlineStr">
        <is>
          <t xml:space="preserve">Budget hold</t>
        </is>
      </c>
      <c r="N69" s="2" t="inlineStr">
        <is>
          <t xml:space="preserve">Estimate</t>
        </is>
      </c>
      <c r="O69" s="2" t="inlineStr">
        <is>
          <t xml:space="preserve"/>
        </is>
      </c>
      <c r="Q69" s="3" t="inlineStr">
        <is>
          <t xml:space="preserve">2026-10-09</t>
        </is>
      </c>
      <c r="R69" s="2" t="inlineStr">
        <is>
          <t xml:space="preserve"/>
        </is>
      </c>
      <c r="S69" s="3" t="inlineStr">
        <is>
          <t xml:space="preserve">2027-03-01</t>
        </is>
      </c>
      <c r="T69" s="2" t="inlineStr">
        <is>
          <t xml:space="preserve">Travel</t>
        </is>
      </c>
      <c r="U69" s="7" t="inlineStr">
        <is>
          <t xml:space="preserve">The 2026 judges flagged missing crating in the budget.</t>
        </is>
      </c>
    </row>
    <row r="71">
      <c r="I71" s="9" t="inlineStr">
        <is>
          <t xml:space="preserve">Tier A, local purchase</t>
        </is>
      </c>
      <c r="J71" s="10">
        <f>SUMIFS($J$2:$J$69,$B$2:$B$69,"A")</f>
        <v>1280.2</v>
      </c>
      <c r="L71" s="11">
        <f>J71*'Read me'!$B$4</f>
        <v>397.9233</v>
      </c>
    </row>
    <row r="72">
      <c r="I72" s="9" t="inlineStr">
        <is>
          <t xml:space="preserve">Tier B, buy now</t>
        </is>
      </c>
      <c r="J72" s="10">
        <f>SUMIFS($J$2:$J$69,$B$2:$B$69,"B",$M$2:$M$69,"Buy now")</f>
        <v>1315.9672</v>
      </c>
      <c r="L72" s="11">
        <f>J72*'Read me'!$B$4</f>
        <v>409.0408</v>
      </c>
    </row>
    <row r="73">
      <c r="I73" s="9" t="inlineStr">
        <is>
          <t xml:space="preserve">Tier B, budget holds</t>
        </is>
      </c>
      <c r="J73" s="10">
        <f>SUMIFS($J$2:$J$69,$B$2:$B$69,"B",$M$2:$M$69,"Budget hold")</f>
        <v>3444.91</v>
      </c>
      <c r="L73" s="11">
        <f>J73*'Read me'!$B$4</f>
        <v>1070.7779</v>
      </c>
    </row>
    <row r="74">
      <c r="I74" s="9" t="inlineStr">
        <is>
          <t xml:space="preserve">Total</t>
        </is>
      </c>
      <c r="J74" s="10">
        <f>SUM(J71:J73)</f>
        <v>6041.0772</v>
      </c>
      <c r="L74" s="11">
        <f>J74*'Read me'!$B$4</f>
        <v>1877.742</v>
      </c>
    </row>
    <row r="75">
      <c r="I75" s="9" t="inlineStr">
        <is>
          <t xml:space="preserve">Share backed by a listing</t>
        </is>
      </c>
      <c r="J75" s="16">
        <f>SUMIFS($J$2:$J$69,$N$2:$N$69,"Listing")/J74</f>
        <v>0.522767</v>
      </c>
    </row>
  </sheetData>
  <autoFilter ref="A1:U69"/>
  <hyperlinks>
    <hyperlink ref="P4" r:id="rIdL1"/>
    <hyperlink ref="P8" r:id="rIdL2"/>
    <hyperlink ref="P19" r:id="rIdL3"/>
    <hyperlink ref="P20" r:id="rIdL4"/>
    <hyperlink ref="P25" r:id="rIdL5"/>
    <hyperlink ref="P35" r:id="rIdL6"/>
    <hyperlink ref="P37" r:id="rIdL7"/>
    <hyperlink ref="P38" r:id="rIdL8"/>
    <hyperlink ref="P39" r:id="rIdL9"/>
    <hyperlink ref="P41" r:id="rIdL10"/>
    <hyperlink ref="P42" r:id="rIdL11"/>
    <hyperlink ref="P43" r:id="rIdL12"/>
    <hyperlink ref="P44" r:id="rIdL13"/>
    <hyperlink ref="P45" r:id="rIdL14"/>
    <hyperlink ref="P46" r:id="rIdL15"/>
    <hyperlink ref="P48" r:id="rIdL16"/>
    <hyperlink ref="P51" r:id="rIdL17"/>
    <hyperlink ref="P56" r:id="rIdL18"/>
    <hyperlink ref="P62" r:id="rIdL19"/>
    <hyperlink ref="P66" r:id="rIdL20"/>
  </hyperlinks>
  <pageMargins left="0.4" right="0.4" top="0.5" bottom="0.5" header="0.3" footer="0.3"/>
  <pageSetup paperSize="1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8"/>
  <sheetViews>
    <sheetView workbookViewId="0" showGridLines="0"/>
  </sheetViews>
  <sheetFormatPr defaultRowHeight="15"/>
  <cols>
    <col min="1" max="1" width="14" customWidth="1"/>
    <col min="2" max="2" width="12" customWidth="1"/>
    <col min="3" max="3" width="110" customWidth="1"/>
  </cols>
  <sheetData>
    <row r="1" ht="22" customHeight="1">
      <c r="A1" s="12" t="inlineStr">
        <is>
          <t xml:space="preserve">PR-01  Initial purchase request: test supplies and long-lead hardware</t>
        </is>
      </c>
    </row>
    <row r="2">
      <c r="A2" s="13" t="inlineStr">
        <is>
          <t xml:space="preserve">AIAA Design/Build/Fly 2026–27  ·  American University of the Middle East  ·  Doc AUM-DBF-27-PR-001  ·  Rev A  ·  9 Oct 2026</t>
        </is>
      </c>
    </row>
    <row r="3">
      <c r="A3" s="13" t="inlineStr">
        <is>
          <t xml:space="preserve">Generated by procurement/make_pr.py from procurement/pr01_items.csv. Edit the CSV, then run procurement/build.sh; this workbook and the PDF are rebuilt together.</t>
        </is>
      </c>
    </row>
    <row r="4">
      <c r="A4" s="3" t="inlineStr">
        <is>
          <t xml:space="preserve">USD → KWD</t>
        </is>
      </c>
      <c r="B4" s="14">
        <v>0.310829</v>
      </c>
      <c r="C4" s="7" t="inlineStr">
        <is>
          <t xml:space="preserve">KWD per USD. currencyconvert.online, updated 2026-10-08 21:00 UTC (market rates). Replace with the CBK rate if purchasing requires it; every KWD cell follows this one.</t>
        </is>
      </c>
    </row>
    <row r="5">
      <c r="A5" s="3" t="inlineStr">
        <is>
          <t xml:space="preserve">GBP → USD</t>
        </is>
      </c>
      <c r="B5" s="14">
        <v>1.3229</v>
      </c>
      <c r="C5" s="7" t="inlineStr">
        <is>
          <t xml:space="preserve">USD per GBP. currencyconvert.online, updated 2026-10-08 21:00 UTC (market rates).</t>
        </is>
      </c>
    </row>
    <row r="7">
      <c r="A7" s="9" t="inlineStr">
        <is>
          <t xml:space="preserve">How to read the Items sheet</t>
        </is>
      </c>
    </row>
    <row r="8">
      <c r="A8" s="13" t="inlineStr">
        <is>
          <t xml:space="preserve">Status, Buy now: the specification is fixed; order now.</t>
        </is>
      </c>
    </row>
    <row r="9">
      <c r="A9" s="13" t="inlineStr">
        <is>
          <t xml:space="preserve">Status, Budget hold: the category and quantity are known, but the exact part follows the 13 Oct sizing gate (analysis Scripts 3–5). Reserve the budget now; part numbers follow on 14 Oct.</t>
        </is>
      </c>
    </row>
    <row r="10">
      <c r="A10" s="13" t="inlineStr">
        <is>
          <t xml:space="preserve">Price basis, Listing: the vendor's listed price, checked on 9 Oct 2026 (URL in column P). Column R says whether it was read on the vendor page or taken from search results for that page, which can lag the live page. A reference, not a quote.</t>
        </is>
      </c>
    </row>
    <row r="11">
      <c r="A11" s="13" t="inlineStr">
        <is>
          <t xml:space="preserve">Price basis, Estimate: a planning figure that has not been verified. Get a quote.</t>
        </is>
      </c>
    </row>
    <row r="12">
      <c r="A12" s="13" t="inlineStr">
        <is>
          <t xml:space="preserve">Prices exclude shipping, duties and VAT unless the vendor column says otherwise.</t>
        </is>
      </c>
    </row>
    <row r="14">
      <c r="A14" s="9" t="inlineStr">
        <is>
          <t xml:space="preserve">Purchasing constraints from the contest rules (2026–27 draft)</t>
        </is>
      </c>
    </row>
    <row r="15">
      <c r="A15" s="13" t="inlineStr">
        <is>
          <t xml:space="preserve">Receivers: ExpressLRS 2.4 GHz with PWM outputs (team decision, 8 Oct 2026). Do not substitute CRSF-only receivers: they need a flight controller, and flight controllers are banned (§3.2.1, §4.2.1). Buy FCC firmware versions: the radio must use a legal US frequency (§3.2.1).</t>
        </is>
      </c>
    </row>
    <row r="16">
      <c r="A16" s="13" t="inlineStr">
        <is>
          <t xml:space="preserve">Batteries: every pack (propulsion, receiver, sensor) must be commercial off-the-shelf, unaltered, with the manufacturer's label stating chemistry, capacity, voltage and C-rating (§3.2.3, §3.1.1). Propulsion packs ≤ 100 Wh each and ≤ 100 Wh in total (§3.2.3.2). Keep the original packaging: tech inspection checks it (§4.2.3).</t>
        </is>
      </c>
    </row>
    <row r="17">
      <c r="A17" s="13" t="inlineStr">
        <is>
          <t xml:space="preserve">Charging sacks: commercial, unaltered, manufacturer-labelled (§3.2.3).</t>
        </is>
      </c>
    </row>
    <row r="18">
      <c r="A18" s="13" t="inlineStr">
        <is>
          <t xml:space="preserve">Fuses: blade type in a separate harness; rating ≤ the pack's maximum continuous current, capped at 100 A (§3.2.3.1, §3.2.3.2).</t>
        </is>
      </c>
    </row>
    <row r="19">
      <c r="A19" s="13" t="inlineStr">
        <is>
          <t xml:space="preserve">Arming plug: wire the same gauge as the pack leads or heavier (§3.2.2).</t>
        </is>
      </c>
    </row>
    <row r="20">
      <c r="A20" s="13" t="inlineStr">
        <is>
          <t xml:space="preserve">ESCs: the BEC must be disabled, and a separate receiver battery is mandatory (§3.2.3, FAQ A.3).</t>
        </is>
      </c>
    </row>
    <row r="21">
      <c r="A21" s="13" t="inlineStr">
        <is>
          <t xml:space="preserve">No cameras, GPS, autopilots or flight controllers anywhere on the airplane (§3.2.1, §4.2.1).</t>
        </is>
      </c>
    </row>
    <row r="22">
      <c r="A22" s="13" t="inlineStr">
        <is>
          <t xml:space="preserve">Hatches: positive mechanical latches; magnets are not acceptable (§4.2.1).</t>
        </is>
      </c>
    </row>
    <row r="24">
      <c r="A24" s="9" t="inlineStr">
        <is>
          <t xml:space="preserve">Not in this request (budget items tracked separately)</t>
        </is>
      </c>
    </row>
    <row r="25">
      <c r="A25" s="13" t="inlineStr">
        <is>
          <t xml:space="preserve">Fly-off registration fee: US$550 per team (§2.6).</t>
        </is>
      </c>
    </row>
    <row r="26">
      <c r="A26" s="13" t="inlineStr">
        <is>
          <t xml:space="preserve">AIAA student membership: US$37 per member per year (aiaa.org dues page, checked 9 Oct 2026); required for every team member (§1.1, §2.1).</t>
        </is>
      </c>
    </row>
    <row r="27">
      <c r="A27" s="13" t="inlineStr">
        <is>
          <t xml:space="preserve">AMA membership for the pilot (§1.2): price to be confirmed with AMA.</t>
        </is>
      </c>
    </row>
    <row r="28">
      <c r="A28" s="13" t="inlineStr">
        <is>
          <t xml:space="preserve">Travel to Tucson and aircraft freight: separate travel request. Contingency: set by the team lead.</t>
        </is>
      </c>
    </row>
  </sheetData>
  <pageMargins left="0.5" right="0.5" top="0.5" bottom="0.5" header="0.3" footer="0.3"/>
</worksheet>
</file>

<file path=docProps/app.xml><?xml version="1.0" encoding="utf-8"?>
<Properties xmlns="http://schemas.openxmlformats.org/officeDocument/2006/extended-properties">
  <Application>make_pr.py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PR-01 Initial purchase request</dc:title>
  <dc:creator>DBF team</dc:creator>
  <dcterms:created xsi:type="dcterms:W3CDTF">2026-10-09T00:00:00Z</dcterms:created>
</cp:coreProperties>
</file>